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CB97E1E-7BB8-4553-94FB-19E85474E9F9}" xr6:coauthVersionLast="47" xr6:coauthVersionMax="47" xr10:uidLastSave="{00000000-0000-0000-0000-000000000000}"/>
  <bookViews>
    <workbookView xWindow="-120" yWindow="-120" windowWidth="29040" windowHeight="15720" xr2:uid="{16916FC1-A126-4FE6-85AF-27CC31BCFF3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J34" i="2" s="1"/>
  <c r="H33" i="2"/>
  <c r="J33" i="2" s="1"/>
  <c r="H32" i="2"/>
  <c r="J32" i="2" s="1"/>
  <c r="J35" i="2" s="1"/>
  <c r="J29" i="2"/>
  <c r="H29" i="2"/>
  <c r="H28" i="2"/>
  <c r="J28" i="2" s="1"/>
  <c r="H27" i="2"/>
  <c r="J27" i="2" s="1"/>
  <c r="J30" i="2" s="1"/>
  <c r="H24" i="2"/>
  <c r="J24" i="2" s="1"/>
  <c r="H23" i="2"/>
  <c r="J23" i="2" s="1"/>
  <c r="H22" i="2"/>
  <c r="J22" i="2" s="1"/>
  <c r="H21" i="2"/>
  <c r="J21" i="2" s="1"/>
  <c r="H20" i="2"/>
  <c r="J20" i="2" s="1"/>
  <c r="J25" i="2" s="1"/>
  <c r="J17" i="2"/>
  <c r="H17" i="2"/>
  <c r="H16" i="2"/>
  <c r="J16" i="2" s="1"/>
  <c r="H15" i="2"/>
  <c r="J15" i="2" s="1"/>
  <c r="J14" i="2"/>
  <c r="H14" i="2"/>
  <c r="H13" i="2"/>
  <c r="J13" i="2" s="1"/>
  <c r="H12" i="2"/>
  <c r="J12" i="2" s="1"/>
  <c r="J11" i="2"/>
  <c r="H11" i="2"/>
  <c r="H10" i="2"/>
  <c r="J10" i="2" s="1"/>
  <c r="J9" i="2"/>
  <c r="H9" i="2"/>
  <c r="J8" i="2"/>
  <c r="H8" i="2"/>
  <c r="J18" i="2" l="1"/>
</calcChain>
</file>

<file path=xl/sharedStrings.xml><?xml version="1.0" encoding="utf-8"?>
<sst xmlns="http://schemas.openxmlformats.org/spreadsheetml/2006/main" count="54" uniqueCount="48">
  <si>
    <t>Estimation / Quotation for GNM Books</t>
  </si>
  <si>
    <t>GNM 1st Year</t>
  </si>
  <si>
    <t>Applied Anatomy &amp; Physiology, Microbiology</t>
  </si>
  <si>
    <t>Dr. Arzta Sophia</t>
  </si>
  <si>
    <t>Nursing Foundations &amp; First Aid</t>
  </si>
  <si>
    <t>Susamma Varghese, Dr. Valsamma Joseph</t>
  </si>
  <si>
    <t>Psychology &amp; Sociology</t>
  </si>
  <si>
    <t>Dr. A. Ian Clement</t>
  </si>
  <si>
    <t>Community Health Nursing - I</t>
  </si>
  <si>
    <t>Dr. Arzta Sophia &amp; Team</t>
  </si>
  <si>
    <t>English for Student Nurse</t>
  </si>
  <si>
    <t>Corinne Campos</t>
  </si>
  <si>
    <t>Nurse's Dairy</t>
  </si>
  <si>
    <t>Experience Faculty</t>
  </si>
  <si>
    <t>Textbook of Nutrition</t>
  </si>
  <si>
    <t>K.V.R. Sarma</t>
  </si>
  <si>
    <t>Sociology in Nursing Practice</t>
  </si>
  <si>
    <t>Cumulative/Practical Record Book</t>
  </si>
  <si>
    <t>N.E. Queeni</t>
  </si>
  <si>
    <r>
      <rPr>
        <sz val="11"/>
        <rFont val="Calibri"/>
        <family val="2"/>
      </rPr>
      <t>Nurses Pocket Dictionary</t>
    </r>
  </si>
  <si>
    <r>
      <rPr>
        <sz val="11"/>
        <rFont val="Calibri"/>
        <family val="2"/>
      </rPr>
      <t>GNK Parmeswari</t>
    </r>
  </si>
  <si>
    <r>
      <rPr>
        <b/>
        <sz val="14"/>
        <color rgb="FF933634"/>
        <rFont val="Calibri"/>
        <family val="2"/>
      </rPr>
      <t>Total</t>
    </r>
  </si>
  <si>
    <t>GNM 2nd Year</t>
  </si>
  <si>
    <t>Essential of Pediatrics Nursing</t>
  </si>
  <si>
    <t>Anupama Susmitha</t>
  </si>
  <si>
    <t>Textbook of Child Health Nursing</t>
  </si>
  <si>
    <t>D. Jyothi</t>
  </si>
  <si>
    <t>Textbook of Mental Health Nursing</t>
  </si>
  <si>
    <t>Dr. A. Basheer Kutty</t>
  </si>
  <si>
    <t>Medical Surgical Nursing - I</t>
  </si>
  <si>
    <t>John Behnur, T.S. Vani</t>
  </si>
  <si>
    <t>Medical Surgical Nursing - II</t>
  </si>
  <si>
    <t xml:space="preserve">GNM 3rd Year </t>
  </si>
  <si>
    <t>Midwifery &amp; Gynecological Nursing</t>
  </si>
  <si>
    <t>Archana Morey, Usha Rani</t>
  </si>
  <si>
    <t>Community Health Nursing - II</t>
  </si>
  <si>
    <t>Satwinder Kaur</t>
  </si>
  <si>
    <t>Comprehensive Textbook for Nurses (Internship)</t>
  </si>
  <si>
    <t>Swapna Darmaji</t>
  </si>
  <si>
    <t>GNM Question Banks</t>
  </si>
  <si>
    <t>1st Year All in One Question Bank</t>
  </si>
  <si>
    <t>I. Vasundhara Nillin</t>
  </si>
  <si>
    <t>2nd Year All in One Question Bank</t>
  </si>
  <si>
    <t>B. Simple, I. Vasundhara Nillin</t>
  </si>
  <si>
    <t>3rd Year All in One Question Bank</t>
  </si>
  <si>
    <r>
      <rPr>
        <b/>
        <sz val="24"/>
        <color theme="5" tint="-0.249977111117893"/>
        <rFont val="Fritz"/>
      </rPr>
      <t>FRONTLINE PUBLICATIONS</t>
    </r>
    <r>
      <rPr>
        <b/>
        <sz val="22"/>
        <color rgb="FF365F90"/>
        <rFont val="Calibri"/>
        <family val="2"/>
      </rPr>
      <t xml:space="preserve">
</t>
    </r>
    <r>
      <rPr>
        <b/>
        <sz val="14"/>
        <color rgb="FF365F90"/>
        <rFont val="Calibri"/>
        <family val="2"/>
      </rPr>
      <t xml:space="preserve">PUBLISHER, DISTRIBUTOR &amp; LIBRARY SUPPLIERS
</t>
    </r>
    <r>
      <rPr>
        <sz val="12"/>
        <color theme="1"/>
        <rFont val="Calibri"/>
        <family val="2"/>
      </rPr>
      <t xml:space="preserve">D. No. F-4 &amp; F-5, First Floor, CAC/Kothi RTC Bus Terminal Complex, Kothi, Hyderabad, Telangana - 500 095.
</t>
    </r>
    <r>
      <rPr>
        <b/>
        <sz val="12"/>
        <color theme="1"/>
        <rFont val="Calibri"/>
        <family val="2"/>
      </rPr>
      <t>Contact:</t>
    </r>
    <r>
      <rPr>
        <sz val="12"/>
        <color theme="1"/>
        <rFont val="Calibri"/>
        <family val="2"/>
      </rPr>
      <t xml:space="preserve"> 8977500816 - </t>
    </r>
    <r>
      <rPr>
        <b/>
        <sz val="12"/>
        <color theme="1"/>
        <rFont val="Calibri"/>
        <family val="2"/>
      </rPr>
      <t>Email:</t>
    </r>
    <r>
      <rPr>
        <sz val="12"/>
        <color theme="1"/>
        <rFont val="Calibri"/>
        <family val="2"/>
      </rPr>
      <t xml:space="preserve"> frontlinepub@gmail.com - </t>
    </r>
    <r>
      <rPr>
        <b/>
        <sz val="12"/>
        <color theme="1"/>
        <rFont val="Calibri"/>
        <family val="2"/>
      </rPr>
      <t>Website:</t>
    </r>
    <r>
      <rPr>
        <sz val="12"/>
        <color theme="1"/>
        <rFont val="Calibri"/>
        <family val="2"/>
      </rPr>
      <t xml:space="preserve"> www.flpublications.com</t>
    </r>
  </si>
  <si>
    <r>
      <rPr>
        <sz val="6"/>
        <rFont val="Calibri"/>
        <family val="2"/>
      </rPr>
      <t xml:space="preserve">
</t>
    </r>
    <r>
      <rPr>
        <sz val="12"/>
        <rFont val="Calibri"/>
        <family val="2"/>
      </rPr>
      <t xml:space="preserve">To,
The Principal
</t>
    </r>
    <r>
      <rPr>
        <b/>
        <sz val="12"/>
        <color rgb="FF933634"/>
        <rFont val="Calibri"/>
        <family val="2"/>
      </rPr>
      <t xml:space="preserve">Madhavanji Hospital College of Nursing
</t>
    </r>
    <r>
      <rPr>
        <sz val="12"/>
        <rFont val="Calibri"/>
        <family val="2"/>
      </rPr>
      <t>Srisailam Highway, Maheshwaram</t>
    </r>
  </si>
  <si>
    <r>
      <t xml:space="preserve">
</t>
    </r>
    <r>
      <rPr>
        <b/>
        <sz val="11"/>
        <color rgb="FF933634"/>
        <rFont val="Calibri"/>
        <family val="2"/>
      </rPr>
      <t xml:space="preserve">DATE: </t>
    </r>
    <r>
      <rPr>
        <sz val="11"/>
        <color theme="1"/>
        <rFont val="Calibri"/>
        <family val="2"/>
      </rPr>
      <t>19</t>
    </r>
    <r>
      <rPr>
        <sz val="11"/>
        <rFont val="Calibri"/>
        <family val="2"/>
      </rPr>
      <t xml:space="preserve">-01-2026
</t>
    </r>
    <r>
      <rPr>
        <b/>
        <sz val="11"/>
        <color rgb="FF933634"/>
        <rFont val="Calibri"/>
        <family val="2"/>
      </rPr>
      <t xml:space="preserve">Quotation No.: </t>
    </r>
    <r>
      <rPr>
        <sz val="11"/>
        <rFont val="Calibri"/>
        <family val="2"/>
      </rPr>
      <t>19/01/26-19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</si>
</sst>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22" x14ac:knownFonts="1">
    <font>
      <sz val="11"/>
      <color theme="1"/>
      <name val="Aptos Narrow"/>
      <family val="2"/>
      <scheme val="minor"/>
    </font>
    <font>
      <b/>
      <sz val="11"/>
      <color theme="5" tint="-0.499984740745262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4"/>
      <color rgb="FF933634"/>
      <name val="Calibri"/>
      <family val="2"/>
    </font>
    <font>
      <b/>
      <sz val="14"/>
      <color theme="5" tint="-0.249977111117893"/>
      <name val="Calibri"/>
      <family val="2"/>
    </font>
    <font>
      <b/>
      <sz val="22"/>
      <name val="Calibri"/>
      <family val="2"/>
    </font>
    <font>
      <b/>
      <sz val="24"/>
      <color theme="5" tint="-0.249977111117893"/>
      <name val="Fritz"/>
    </font>
    <font>
      <b/>
      <sz val="22"/>
      <color rgb="FF365F90"/>
      <name val="Calibri"/>
      <family val="2"/>
    </font>
    <font>
      <b/>
      <sz val="14"/>
      <color rgb="FF365F9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6"/>
      <name val="Calibri"/>
      <family val="2"/>
    </font>
    <font>
      <sz val="12"/>
      <name val="Calibri"/>
      <family val="2"/>
    </font>
    <font>
      <b/>
      <sz val="12"/>
      <color rgb="FF933634"/>
      <name val="Calibri"/>
      <family val="2"/>
    </font>
    <font>
      <sz val="10"/>
      <color rgb="FF000000"/>
      <name val="Times New Roman"/>
      <family val="1"/>
    </font>
    <font>
      <b/>
      <sz val="11"/>
      <color rgb="FF933634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363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9" fontId="4" fillId="0" borderId="6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9" fontId="4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3176-EA1A-4251-86F2-028DC3A8EE6A}">
  <dimension ref="A1:J35"/>
  <sheetViews>
    <sheetView tabSelected="1" workbookViewId="0">
      <selection activeCell="P5" sqref="P5"/>
    </sheetView>
  </sheetViews>
  <sheetFormatPr defaultRowHeight="15" x14ac:dyDescent="0.25"/>
  <cols>
    <col min="2" max="2" width="22.140625" customWidth="1"/>
    <col min="10" max="10" width="47.85546875" customWidth="1"/>
  </cols>
  <sheetData>
    <row r="1" spans="1:10" x14ac:dyDescent="0.25">
      <c r="A1" s="36" t="s">
        <v>45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65.2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87.75" customHeight="1" x14ac:dyDescent="0.25">
      <c r="A5" s="30" t="s">
        <v>46</v>
      </c>
      <c r="B5" s="31"/>
      <c r="C5" s="32"/>
      <c r="D5" s="33" t="s">
        <v>47</v>
      </c>
      <c r="E5" s="34"/>
      <c r="F5" s="34"/>
      <c r="G5" s="34"/>
      <c r="H5" s="34"/>
      <c r="I5" s="34"/>
      <c r="J5" s="35"/>
    </row>
    <row r="6" spans="1:10" x14ac:dyDescent="0.25">
      <c r="A6" s="1" t="s">
        <v>0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3" t="s">
        <v>1</v>
      </c>
      <c r="B7" s="4"/>
      <c r="C7" s="5"/>
      <c r="D7" s="6"/>
      <c r="E7" s="6"/>
      <c r="F7" s="6"/>
      <c r="G7" s="6"/>
      <c r="H7" s="6"/>
      <c r="I7" s="6"/>
      <c r="J7" s="6"/>
    </row>
    <row r="8" spans="1:10" x14ac:dyDescent="0.25">
      <c r="A8" s="7">
        <v>1</v>
      </c>
      <c r="B8" s="8" t="s">
        <v>2</v>
      </c>
      <c r="C8" s="9"/>
      <c r="D8" s="8" t="s">
        <v>3</v>
      </c>
      <c r="E8" s="9"/>
      <c r="F8" s="7">
        <v>600</v>
      </c>
      <c r="G8" s="10">
        <v>0.4</v>
      </c>
      <c r="H8" s="7">
        <f>F8-(F8*G8)</f>
        <v>360</v>
      </c>
      <c r="I8" s="7">
        <v>1</v>
      </c>
      <c r="J8" s="7">
        <f>H8*I8</f>
        <v>360</v>
      </c>
    </row>
    <row r="9" spans="1:10" x14ac:dyDescent="0.25">
      <c r="A9" s="7">
        <v>2</v>
      </c>
      <c r="B9" s="8" t="s">
        <v>4</v>
      </c>
      <c r="C9" s="11"/>
      <c r="D9" s="8" t="s">
        <v>5</v>
      </c>
      <c r="E9" s="9"/>
      <c r="F9" s="7">
        <v>1200</v>
      </c>
      <c r="G9" s="10">
        <v>0.4</v>
      </c>
      <c r="H9" s="7">
        <f t="shared" ref="H9:H17" si="0">F9-(F9*G9)</f>
        <v>720</v>
      </c>
      <c r="I9" s="7">
        <v>1</v>
      </c>
      <c r="J9" s="7">
        <f t="shared" ref="J9:J17" si="1">H9*I9</f>
        <v>720</v>
      </c>
    </row>
    <row r="10" spans="1:10" x14ac:dyDescent="0.25">
      <c r="A10" s="7">
        <v>3</v>
      </c>
      <c r="B10" s="8" t="s">
        <v>6</v>
      </c>
      <c r="C10" s="9"/>
      <c r="D10" s="8" t="s">
        <v>7</v>
      </c>
      <c r="E10" s="9"/>
      <c r="F10" s="7">
        <v>400</v>
      </c>
      <c r="G10" s="10">
        <v>0.4</v>
      </c>
      <c r="H10" s="7">
        <f t="shared" si="0"/>
        <v>240</v>
      </c>
      <c r="I10" s="7">
        <v>1</v>
      </c>
      <c r="J10" s="7">
        <f t="shared" si="1"/>
        <v>240</v>
      </c>
    </row>
    <row r="11" spans="1:10" x14ac:dyDescent="0.25">
      <c r="A11" s="7">
        <v>4</v>
      </c>
      <c r="B11" s="8" t="s">
        <v>8</v>
      </c>
      <c r="C11" s="9"/>
      <c r="D11" s="8" t="s">
        <v>9</v>
      </c>
      <c r="E11" s="9"/>
      <c r="F11" s="7">
        <v>850</v>
      </c>
      <c r="G11" s="10">
        <v>0.4</v>
      </c>
      <c r="H11" s="7">
        <f t="shared" si="0"/>
        <v>510</v>
      </c>
      <c r="I11" s="7">
        <v>1</v>
      </c>
      <c r="J11" s="7">
        <f t="shared" si="1"/>
        <v>510</v>
      </c>
    </row>
    <row r="12" spans="1:10" x14ac:dyDescent="0.25">
      <c r="A12" s="7">
        <v>5</v>
      </c>
      <c r="B12" s="8" t="s">
        <v>10</v>
      </c>
      <c r="C12" s="9"/>
      <c r="D12" s="8" t="s">
        <v>11</v>
      </c>
      <c r="E12" s="9"/>
      <c r="F12" s="7">
        <v>300</v>
      </c>
      <c r="G12" s="10">
        <v>0.4</v>
      </c>
      <c r="H12" s="7">
        <f t="shared" si="0"/>
        <v>180</v>
      </c>
      <c r="I12" s="7">
        <v>1</v>
      </c>
      <c r="J12" s="7">
        <f t="shared" si="1"/>
        <v>180</v>
      </c>
    </row>
    <row r="13" spans="1:10" x14ac:dyDescent="0.25">
      <c r="A13" s="7">
        <v>6</v>
      </c>
      <c r="B13" s="8" t="s">
        <v>12</v>
      </c>
      <c r="C13" s="9"/>
      <c r="D13" s="8" t="s">
        <v>13</v>
      </c>
      <c r="E13" s="9"/>
      <c r="F13" s="7">
        <v>250</v>
      </c>
      <c r="G13" s="10">
        <v>0.4</v>
      </c>
      <c r="H13" s="7">
        <f t="shared" si="0"/>
        <v>150</v>
      </c>
      <c r="I13" s="7">
        <v>1</v>
      </c>
      <c r="J13" s="7">
        <f t="shared" si="1"/>
        <v>150</v>
      </c>
    </row>
    <row r="14" spans="1:10" x14ac:dyDescent="0.25">
      <c r="A14" s="7">
        <v>7</v>
      </c>
      <c r="B14" s="8" t="s">
        <v>14</v>
      </c>
      <c r="C14" s="9"/>
      <c r="D14" s="8" t="s">
        <v>15</v>
      </c>
      <c r="E14" s="9"/>
      <c r="F14" s="7">
        <v>450</v>
      </c>
      <c r="G14" s="10">
        <v>0.4</v>
      </c>
      <c r="H14" s="7">
        <f t="shared" si="0"/>
        <v>270</v>
      </c>
      <c r="I14" s="7">
        <v>1</v>
      </c>
      <c r="J14" s="7">
        <f t="shared" si="1"/>
        <v>270</v>
      </c>
    </row>
    <row r="15" spans="1:10" x14ac:dyDescent="0.25">
      <c r="A15" s="7">
        <v>8</v>
      </c>
      <c r="B15" s="8" t="s">
        <v>16</v>
      </c>
      <c r="C15" s="9"/>
      <c r="D15" s="8" t="s">
        <v>7</v>
      </c>
      <c r="E15" s="9"/>
      <c r="F15" s="7">
        <v>300</v>
      </c>
      <c r="G15" s="10">
        <v>0.4</v>
      </c>
      <c r="H15" s="7">
        <f t="shared" si="0"/>
        <v>180</v>
      </c>
      <c r="I15" s="7">
        <v>1</v>
      </c>
      <c r="J15" s="7">
        <f t="shared" si="1"/>
        <v>180</v>
      </c>
    </row>
    <row r="16" spans="1:10" x14ac:dyDescent="0.25">
      <c r="A16" s="7">
        <v>9</v>
      </c>
      <c r="B16" s="8" t="s">
        <v>17</v>
      </c>
      <c r="C16" s="9"/>
      <c r="D16" s="8" t="s">
        <v>18</v>
      </c>
      <c r="E16" s="9"/>
      <c r="F16" s="7">
        <v>275</v>
      </c>
      <c r="G16" s="10">
        <v>0.4</v>
      </c>
      <c r="H16" s="7">
        <f t="shared" si="0"/>
        <v>165</v>
      </c>
      <c r="I16" s="7">
        <v>1</v>
      </c>
      <c r="J16" s="7">
        <f t="shared" si="1"/>
        <v>165</v>
      </c>
    </row>
    <row r="17" spans="1:10" x14ac:dyDescent="0.25">
      <c r="A17" s="7">
        <v>10</v>
      </c>
      <c r="B17" s="8" t="s">
        <v>19</v>
      </c>
      <c r="C17" s="9"/>
      <c r="D17" s="8" t="s">
        <v>20</v>
      </c>
      <c r="E17" s="9"/>
      <c r="F17" s="7">
        <v>500</v>
      </c>
      <c r="G17" s="10">
        <v>0.4</v>
      </c>
      <c r="H17" s="7">
        <f t="shared" si="0"/>
        <v>300</v>
      </c>
      <c r="I17" s="7">
        <v>1</v>
      </c>
      <c r="J17" s="7">
        <f t="shared" si="1"/>
        <v>300</v>
      </c>
    </row>
    <row r="18" spans="1:10" ht="18.75" x14ac:dyDescent="0.25">
      <c r="A18" s="12"/>
      <c r="B18" s="5"/>
      <c r="C18" s="13"/>
      <c r="D18" s="5"/>
      <c r="E18" s="13"/>
      <c r="F18" s="12"/>
      <c r="G18" s="12"/>
      <c r="H18" s="12"/>
      <c r="I18" s="14" t="s">
        <v>21</v>
      </c>
      <c r="J18" s="15">
        <f>SUM(J8:J17)</f>
        <v>3075</v>
      </c>
    </row>
    <row r="19" spans="1:10" x14ac:dyDescent="0.25">
      <c r="A19" s="16" t="s">
        <v>22</v>
      </c>
      <c r="B19" s="17"/>
      <c r="C19" s="18"/>
      <c r="D19" s="19"/>
      <c r="E19" s="19"/>
      <c r="F19" s="19"/>
      <c r="G19" s="19"/>
      <c r="H19" s="19"/>
      <c r="I19" s="19"/>
      <c r="J19" s="19"/>
    </row>
    <row r="20" spans="1:10" x14ac:dyDescent="0.25">
      <c r="A20" s="7">
        <v>1</v>
      </c>
      <c r="B20" s="8" t="s">
        <v>23</v>
      </c>
      <c r="C20" s="11"/>
      <c r="D20" s="8" t="s">
        <v>24</v>
      </c>
      <c r="E20" s="9"/>
      <c r="F20" s="7">
        <v>900</v>
      </c>
      <c r="G20" s="10">
        <v>0.4</v>
      </c>
      <c r="H20" s="7">
        <f>F20-(F20*G20)</f>
        <v>540</v>
      </c>
      <c r="I20" s="7">
        <v>1</v>
      </c>
      <c r="J20" s="7">
        <f>H20*I20</f>
        <v>540</v>
      </c>
    </row>
    <row r="21" spans="1:10" x14ac:dyDescent="0.25">
      <c r="A21" s="7">
        <v>2</v>
      </c>
      <c r="B21" s="8" t="s">
        <v>25</v>
      </c>
      <c r="C21" s="9"/>
      <c r="D21" s="8" t="s">
        <v>26</v>
      </c>
      <c r="E21" s="9"/>
      <c r="F21" s="7">
        <v>800</v>
      </c>
      <c r="G21" s="10">
        <v>0.4</v>
      </c>
      <c r="H21" s="7">
        <f t="shared" ref="H21:H24" si="2">F21-(F21*G21)</f>
        <v>480</v>
      </c>
      <c r="I21" s="7">
        <v>1</v>
      </c>
      <c r="J21" s="7">
        <f t="shared" ref="J21:J24" si="3">H21*I21</f>
        <v>480</v>
      </c>
    </row>
    <row r="22" spans="1:10" x14ac:dyDescent="0.25">
      <c r="A22" s="7">
        <v>3</v>
      </c>
      <c r="B22" s="8" t="s">
        <v>27</v>
      </c>
      <c r="C22" s="11"/>
      <c r="D22" s="8" t="s">
        <v>28</v>
      </c>
      <c r="E22" s="9"/>
      <c r="F22" s="7">
        <v>700</v>
      </c>
      <c r="G22" s="10">
        <v>0.4</v>
      </c>
      <c r="H22" s="7">
        <f t="shared" si="2"/>
        <v>420</v>
      </c>
      <c r="I22" s="7">
        <v>1</v>
      </c>
      <c r="J22" s="7">
        <f t="shared" si="3"/>
        <v>420</v>
      </c>
    </row>
    <row r="23" spans="1:10" x14ac:dyDescent="0.25">
      <c r="A23" s="7">
        <v>4</v>
      </c>
      <c r="B23" s="8" t="s">
        <v>29</v>
      </c>
      <c r="C23" s="11"/>
      <c r="D23" s="8" t="s">
        <v>30</v>
      </c>
      <c r="E23" s="9"/>
      <c r="F23" s="7">
        <v>1100</v>
      </c>
      <c r="G23" s="10">
        <v>0.4</v>
      </c>
      <c r="H23" s="7">
        <f t="shared" si="2"/>
        <v>660</v>
      </c>
      <c r="I23" s="7">
        <v>1</v>
      </c>
      <c r="J23" s="7">
        <f t="shared" si="3"/>
        <v>660</v>
      </c>
    </row>
    <row r="24" spans="1:10" x14ac:dyDescent="0.25">
      <c r="A24" s="7">
        <v>5</v>
      </c>
      <c r="B24" s="8" t="s">
        <v>31</v>
      </c>
      <c r="C24" s="9"/>
      <c r="D24" s="8" t="s">
        <v>30</v>
      </c>
      <c r="E24" s="9"/>
      <c r="F24" s="7">
        <v>1100</v>
      </c>
      <c r="G24" s="10">
        <v>0.4</v>
      </c>
      <c r="H24" s="7">
        <f t="shared" si="2"/>
        <v>660</v>
      </c>
      <c r="I24" s="7">
        <v>1</v>
      </c>
      <c r="J24" s="7">
        <f t="shared" si="3"/>
        <v>660</v>
      </c>
    </row>
    <row r="25" spans="1:10" ht="18.75" x14ac:dyDescent="0.25">
      <c r="A25" s="12"/>
      <c r="B25" s="5"/>
      <c r="C25" s="13"/>
      <c r="D25" s="5"/>
      <c r="E25" s="13"/>
      <c r="F25" s="12"/>
      <c r="G25" s="12"/>
      <c r="H25" s="12"/>
      <c r="I25" s="14" t="s">
        <v>21</v>
      </c>
      <c r="J25" s="15">
        <f>SUM(J20:J24)</f>
        <v>2760</v>
      </c>
    </row>
    <row r="26" spans="1:10" x14ac:dyDescent="0.25">
      <c r="A26" s="16" t="s">
        <v>32</v>
      </c>
      <c r="B26" s="17"/>
      <c r="C26" s="18"/>
      <c r="D26" s="19"/>
      <c r="E26" s="19"/>
      <c r="F26" s="19"/>
      <c r="G26" s="19"/>
      <c r="H26" s="19"/>
      <c r="I26" s="19"/>
      <c r="J26" s="19"/>
    </row>
    <row r="27" spans="1:10" x14ac:dyDescent="0.25">
      <c r="A27" s="7">
        <v>1</v>
      </c>
      <c r="B27" s="8" t="s">
        <v>33</v>
      </c>
      <c r="C27" s="11"/>
      <c r="D27" s="8" t="s">
        <v>34</v>
      </c>
      <c r="E27" s="9"/>
      <c r="F27" s="7">
        <v>1200</v>
      </c>
      <c r="G27" s="10">
        <v>0.4</v>
      </c>
      <c r="H27" s="7">
        <f>F27-(F27*G27)</f>
        <v>720</v>
      </c>
      <c r="I27" s="7">
        <v>1</v>
      </c>
      <c r="J27" s="7">
        <f>H27*I27</f>
        <v>720</v>
      </c>
    </row>
    <row r="28" spans="1:10" x14ac:dyDescent="0.25">
      <c r="A28" s="7">
        <v>2</v>
      </c>
      <c r="B28" s="8" t="s">
        <v>35</v>
      </c>
      <c r="C28" s="9"/>
      <c r="D28" s="8" t="s">
        <v>36</v>
      </c>
      <c r="E28" s="9"/>
      <c r="F28" s="7">
        <v>400</v>
      </c>
      <c r="G28" s="10">
        <v>0.4</v>
      </c>
      <c r="H28" s="7">
        <f t="shared" ref="H28:H29" si="4">F28-(F28*G28)</f>
        <v>240</v>
      </c>
      <c r="I28" s="7">
        <v>1</v>
      </c>
      <c r="J28" s="7">
        <f t="shared" ref="J28:J29" si="5">H28*I28</f>
        <v>240</v>
      </c>
    </row>
    <row r="29" spans="1:10" x14ac:dyDescent="0.25">
      <c r="A29" s="7">
        <v>3</v>
      </c>
      <c r="B29" s="8" t="s">
        <v>37</v>
      </c>
      <c r="C29" s="11"/>
      <c r="D29" s="8" t="s">
        <v>38</v>
      </c>
      <c r="E29" s="9"/>
      <c r="F29" s="7">
        <v>650</v>
      </c>
      <c r="G29" s="10">
        <v>0.4</v>
      </c>
      <c r="H29" s="7">
        <f t="shared" si="4"/>
        <v>390</v>
      </c>
      <c r="I29" s="7">
        <v>1</v>
      </c>
      <c r="J29" s="7">
        <f t="shared" si="5"/>
        <v>390</v>
      </c>
    </row>
    <row r="30" spans="1:10" ht="18.75" x14ac:dyDescent="0.25">
      <c r="A30" s="7"/>
      <c r="B30" s="20"/>
      <c r="C30" s="20"/>
      <c r="D30" s="20"/>
      <c r="E30" s="20"/>
      <c r="F30" s="21"/>
      <c r="G30" s="21"/>
      <c r="H30" s="21"/>
      <c r="I30" s="14" t="s">
        <v>21</v>
      </c>
      <c r="J30" s="22">
        <f>SUM(J27:J29)</f>
        <v>1350</v>
      </c>
    </row>
    <row r="31" spans="1:10" x14ac:dyDescent="0.25">
      <c r="A31" s="16" t="s">
        <v>39</v>
      </c>
      <c r="B31" s="17"/>
      <c r="C31" s="23"/>
      <c r="D31" s="24"/>
      <c r="E31" s="24"/>
      <c r="F31" s="24"/>
      <c r="G31" s="24"/>
      <c r="H31" s="24"/>
      <c r="I31" s="24"/>
      <c r="J31" s="24"/>
    </row>
    <row r="32" spans="1:10" x14ac:dyDescent="0.25">
      <c r="A32" s="7">
        <v>1</v>
      </c>
      <c r="B32" s="8" t="s">
        <v>40</v>
      </c>
      <c r="C32" s="11"/>
      <c r="D32" s="8" t="s">
        <v>41</v>
      </c>
      <c r="E32" s="9"/>
      <c r="F32" s="7">
        <v>550</v>
      </c>
      <c r="G32" s="10">
        <v>0.4</v>
      </c>
      <c r="H32" s="7">
        <f>F32-(F32*G32)</f>
        <v>330</v>
      </c>
      <c r="I32" s="7">
        <v>1</v>
      </c>
      <c r="J32" s="7">
        <f>H32*I32</f>
        <v>330</v>
      </c>
    </row>
    <row r="33" spans="1:10" x14ac:dyDescent="0.25">
      <c r="A33" s="7">
        <v>2</v>
      </c>
      <c r="B33" s="8" t="s">
        <v>42</v>
      </c>
      <c r="C33" s="11"/>
      <c r="D33" s="8" t="s">
        <v>43</v>
      </c>
      <c r="E33" s="9"/>
      <c r="F33" s="7">
        <v>700</v>
      </c>
      <c r="G33" s="10">
        <v>0.4</v>
      </c>
      <c r="H33" s="7">
        <f t="shared" ref="H33:H34" si="6">F33-(F33*G33)</f>
        <v>420</v>
      </c>
      <c r="I33" s="7">
        <v>1</v>
      </c>
      <c r="J33" s="7">
        <f t="shared" ref="J33:J34" si="7">H33*I33</f>
        <v>420</v>
      </c>
    </row>
    <row r="34" spans="1:10" x14ac:dyDescent="0.25">
      <c r="A34" s="7">
        <v>3</v>
      </c>
      <c r="B34" s="8" t="s">
        <v>44</v>
      </c>
      <c r="C34" s="11"/>
      <c r="D34" s="8" t="s">
        <v>41</v>
      </c>
      <c r="E34" s="9"/>
      <c r="F34" s="7">
        <v>450</v>
      </c>
      <c r="G34" s="10">
        <v>0.4</v>
      </c>
      <c r="H34" s="7">
        <f t="shared" si="6"/>
        <v>270</v>
      </c>
      <c r="I34" s="7">
        <v>1</v>
      </c>
      <c r="J34" s="7">
        <f t="shared" si="7"/>
        <v>270</v>
      </c>
    </row>
    <row r="35" spans="1:10" ht="18.75" x14ac:dyDescent="0.25">
      <c r="A35" s="25"/>
      <c r="B35" s="26"/>
      <c r="C35" s="26"/>
      <c r="D35" s="26"/>
      <c r="E35" s="26"/>
      <c r="F35" s="25"/>
      <c r="G35" s="27"/>
      <c r="H35" s="25"/>
      <c r="I35" s="28" t="s">
        <v>21</v>
      </c>
      <c r="J35" s="29">
        <f>SUM(J32:J34)</f>
        <v>1020</v>
      </c>
    </row>
  </sheetData>
  <mergeCells count="62">
    <mergeCell ref="B33:C33"/>
    <mergeCell ref="D33:E33"/>
    <mergeCell ref="B34:C34"/>
    <mergeCell ref="D34:E34"/>
    <mergeCell ref="B35:C35"/>
    <mergeCell ref="D35:E35"/>
    <mergeCell ref="B30:C30"/>
    <mergeCell ref="D30:E30"/>
    <mergeCell ref="A31:B31"/>
    <mergeCell ref="C31:J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A26:B26"/>
    <mergeCell ref="C26:J26"/>
    <mergeCell ref="B21:C21"/>
    <mergeCell ref="D21:E21"/>
    <mergeCell ref="B22:C22"/>
    <mergeCell ref="D22:E22"/>
    <mergeCell ref="B23:C23"/>
    <mergeCell ref="D23:E23"/>
    <mergeCell ref="B18:C18"/>
    <mergeCell ref="D18:E18"/>
    <mergeCell ref="A19:B19"/>
    <mergeCell ref="C19:J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D8:E8"/>
    <mergeCell ref="B9:C9"/>
    <mergeCell ref="D9:E9"/>
    <mergeCell ref="B10:C10"/>
    <mergeCell ref="D10:E10"/>
    <mergeCell ref="B11:C11"/>
    <mergeCell ref="D11:E11"/>
    <mergeCell ref="A1:J4"/>
    <mergeCell ref="A5:C5"/>
    <mergeCell ref="D5:J5"/>
    <mergeCell ref="A6:J6"/>
    <mergeCell ref="A7:B7"/>
    <mergeCell ref="C7:J7"/>
    <mergeCell ref="B8:C8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 A</dc:creator>
  <cp:lastModifiedBy>S. A</cp:lastModifiedBy>
  <dcterms:created xsi:type="dcterms:W3CDTF">2026-01-19T06:37:39Z</dcterms:created>
  <dcterms:modified xsi:type="dcterms:W3CDTF">2026-01-19T06:42:31Z</dcterms:modified>
</cp:coreProperties>
</file>