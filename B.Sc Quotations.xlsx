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78F40E-FA86-4730-ADF7-80AA8480F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J38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39" i="1"/>
  <c r="J39" i="1" s="1"/>
  <c r="H40" i="1"/>
  <c r="J40" i="1" s="1"/>
  <c r="H27" i="1"/>
  <c r="J27" i="1" s="1"/>
  <c r="H22" i="1"/>
  <c r="J22" i="1" s="1"/>
  <c r="H29" i="1"/>
  <c r="J29" i="1" s="1"/>
  <c r="H28" i="1"/>
  <c r="J28" i="1" s="1"/>
  <c r="H26" i="1"/>
  <c r="J26" i="1" s="1"/>
  <c r="H43" i="1" l="1"/>
  <c r="J43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25" i="1"/>
  <c r="J25" i="1" s="1"/>
  <c r="H24" i="1"/>
  <c r="J24" i="1" s="1"/>
  <c r="H23" i="1"/>
  <c r="J23" i="1" s="1"/>
  <c r="H21" i="1"/>
  <c r="J21" i="1" s="1"/>
  <c r="H9" i="1"/>
  <c r="J9" i="1" s="1"/>
  <c r="J19" i="1" s="1"/>
  <c r="J41" i="1" l="1"/>
  <c r="J30" i="1"/>
  <c r="J44" i="1"/>
</calcChain>
</file>

<file path=xl/sharedStrings.xml><?xml version="1.0" encoding="utf-8"?>
<sst xmlns="http://schemas.openxmlformats.org/spreadsheetml/2006/main" count="78" uniqueCount="69">
  <si>
    <r>
      <rPr>
        <b/>
        <sz val="11"/>
        <rFont val="Calibri"/>
        <family val="2"/>
      </rPr>
      <t>S. No.</t>
    </r>
  </si>
  <si>
    <r>
      <rPr>
        <b/>
        <sz val="11"/>
        <rFont val="Calibri"/>
        <family val="2"/>
      </rPr>
      <t>Title</t>
    </r>
  </si>
  <si>
    <r>
      <rPr>
        <b/>
        <sz val="11"/>
        <rFont val="Calibri"/>
        <family val="2"/>
      </rPr>
      <t>Author</t>
    </r>
  </si>
  <si>
    <r>
      <rPr>
        <b/>
        <sz val="11"/>
        <rFont val="Calibri"/>
        <family val="2"/>
      </rPr>
      <t>Price</t>
    </r>
  </si>
  <si>
    <r>
      <rPr>
        <b/>
        <sz val="11"/>
        <rFont val="Calibri"/>
        <family val="2"/>
      </rPr>
      <t>Disc.</t>
    </r>
  </si>
  <si>
    <r>
      <rPr>
        <b/>
        <sz val="11"/>
        <rFont val="Calibri"/>
        <family val="2"/>
      </rPr>
      <t>Net</t>
    </r>
  </si>
  <si>
    <r>
      <rPr>
        <b/>
        <sz val="11"/>
        <rFont val="Calibri"/>
        <family val="2"/>
      </rPr>
      <t>Qty.</t>
    </r>
  </si>
  <si>
    <r>
      <rPr>
        <b/>
        <sz val="11"/>
        <rFont val="Calibri"/>
        <family val="2"/>
      </rPr>
      <t>Total</t>
    </r>
  </si>
  <si>
    <r>
      <rPr>
        <b/>
        <sz val="11"/>
        <color rgb="FFFFFFFF"/>
        <rFont val="Calibri"/>
        <family val="2"/>
      </rPr>
      <t>1</t>
    </r>
    <r>
      <rPr>
        <b/>
        <sz val="7"/>
        <color rgb="FFFFFFFF"/>
        <rFont val="Calibri"/>
        <family val="2"/>
      </rPr>
      <t xml:space="preserve">st </t>
    </r>
    <r>
      <rPr>
        <b/>
        <sz val="11"/>
        <color rgb="FFFFFFFF"/>
        <rFont val="Calibri"/>
        <family val="2"/>
      </rPr>
      <t>&amp; 2</t>
    </r>
    <r>
      <rPr>
        <b/>
        <sz val="7"/>
        <color rgb="FFFFFFFF"/>
        <rFont val="Calibri"/>
        <family val="2"/>
      </rPr>
      <t xml:space="preserve">nd </t>
    </r>
    <r>
      <rPr>
        <b/>
        <sz val="11"/>
        <color rgb="FFFFFFFF"/>
        <rFont val="Calibri"/>
        <family val="2"/>
      </rPr>
      <t>Semester</t>
    </r>
  </si>
  <si>
    <r>
      <rPr>
        <sz val="11"/>
        <rFont val="Calibri"/>
        <family val="2"/>
      </rPr>
      <t>Applied Anatomy &amp; Physiology</t>
    </r>
  </si>
  <si>
    <r>
      <rPr>
        <sz val="11"/>
        <rFont val="Calibri"/>
        <family val="2"/>
      </rPr>
      <t>Dr. A. Ian Clement</t>
    </r>
  </si>
  <si>
    <r>
      <rPr>
        <sz val="11"/>
        <rFont val="Calibri"/>
        <family val="2"/>
      </rPr>
      <t>Applied Sociology</t>
    </r>
  </si>
  <si>
    <r>
      <rPr>
        <sz val="11"/>
        <rFont val="Calibri"/>
        <family val="2"/>
      </rPr>
      <t>Communicative English</t>
    </r>
  </si>
  <si>
    <r>
      <rPr>
        <sz val="11"/>
        <rFont val="Calibri"/>
        <family val="2"/>
      </rPr>
      <t>P. Angela Vanaja Kumari</t>
    </r>
  </si>
  <si>
    <r>
      <rPr>
        <sz val="11"/>
        <rFont val="Calibri"/>
        <family val="2"/>
      </rPr>
      <t>Health Nursing Informatics &amp; Technology</t>
    </r>
  </si>
  <si>
    <r>
      <rPr>
        <sz val="11"/>
        <rFont val="Calibri"/>
        <family val="2"/>
      </rPr>
      <t>S.P. Subhashini</t>
    </r>
  </si>
  <si>
    <r>
      <rPr>
        <sz val="11"/>
        <rFont val="Calibri"/>
        <family val="2"/>
      </rPr>
      <t>Applied Nutrition &amp; Dietetics</t>
    </r>
  </si>
  <si>
    <r>
      <rPr>
        <sz val="11"/>
        <rFont val="Calibri"/>
        <family val="2"/>
      </rPr>
      <t>Safeena Beevi S.S.</t>
    </r>
  </si>
  <si>
    <r>
      <rPr>
        <sz val="11"/>
        <rFont val="Calibri"/>
        <family val="2"/>
      </rPr>
      <t>Nurses Pocket Dictionary</t>
    </r>
  </si>
  <si>
    <r>
      <rPr>
        <b/>
        <sz val="14"/>
        <color rgb="FF933634"/>
        <rFont val="Calibri"/>
        <family val="2"/>
      </rPr>
      <t>Total</t>
    </r>
  </si>
  <si>
    <t>N.E. Queeni</t>
  </si>
  <si>
    <r>
      <rPr>
        <sz val="11"/>
        <rFont val="Calibri"/>
        <family val="2"/>
      </rPr>
      <t>Dr. Vikas Sharma</t>
    </r>
  </si>
  <si>
    <r>
      <rPr>
        <sz val="11"/>
        <rFont val="Calibri"/>
        <family val="2"/>
      </rPr>
      <t>Dr. Shobhana Mathur</t>
    </r>
  </si>
  <si>
    <r>
      <rPr>
        <sz val="11"/>
        <rFont val="Calibri"/>
        <family val="2"/>
      </rPr>
      <t>Dr. Triveni Bhopal</t>
    </r>
  </si>
  <si>
    <t>Community Health Nursing - I</t>
  </si>
  <si>
    <t>Dr. G. Gnana Prasuna</t>
  </si>
  <si>
    <t>Practical Manual of Community Health Nursing - I</t>
  </si>
  <si>
    <t>Introduction to Forensic Nursing and Indian Laws</t>
  </si>
  <si>
    <t>Dr. Pragnesh B. Parmar</t>
  </si>
  <si>
    <t>Educational Technology/Nursing Education</t>
  </si>
  <si>
    <t>M. Lakshmi Prasanna</t>
  </si>
  <si>
    <t>Dr. A. Ian Clement</t>
  </si>
  <si>
    <t>Textbook of Mental Health Psychiatric Nursing I &amp; II</t>
  </si>
  <si>
    <t>Dr. Vikas Upadhyay</t>
  </si>
  <si>
    <t>Textbook of Paediatric Nursing I &amp; II</t>
  </si>
  <si>
    <t>Safeena Beevi S.S.</t>
  </si>
  <si>
    <t>Nyksy Abraham</t>
  </si>
  <si>
    <r>
      <rPr>
        <b/>
        <sz val="11"/>
        <color rgb="FFFFFFFF"/>
        <rFont val="Calibri"/>
        <family val="2"/>
      </rPr>
      <t>7</t>
    </r>
    <r>
      <rPr>
        <b/>
        <sz val="7"/>
        <color rgb="FFFFFFFF"/>
        <rFont val="Calibri"/>
        <family val="2"/>
      </rPr>
      <t xml:space="preserve">th </t>
    </r>
    <r>
      <rPr>
        <b/>
        <sz val="11"/>
        <color rgb="FFFFFFFF"/>
        <rFont val="Calibri"/>
        <family val="2"/>
      </rPr>
      <t>Semester</t>
    </r>
  </si>
  <si>
    <t>Cumulative/Practical Record Book</t>
  </si>
  <si>
    <t>Dr. M.V. Ramanamma</t>
  </si>
  <si>
    <t>Dr. Mrudula C., Dr. Anish Singhal</t>
  </si>
  <si>
    <t>Dr. Valsamma Joseph</t>
  </si>
  <si>
    <r>
      <rPr>
        <sz val="11"/>
        <rFont val="Calibri"/>
        <family val="2"/>
        <scheme val="minor"/>
      </rPr>
      <t>Nursing Foundations – I &amp; II</t>
    </r>
  </si>
  <si>
    <t>Applied Psychology</t>
  </si>
  <si>
    <t>Applied Biochemistry</t>
  </si>
  <si>
    <t>Dr. A.M. Mungekar</t>
  </si>
  <si>
    <t>Community Health Nursing - II</t>
  </si>
  <si>
    <t>Estimation / Quotation for B.Sc. Books</t>
  </si>
  <si>
    <t>G.N.K. Prameswari</t>
  </si>
  <si>
    <r>
      <rPr>
        <b/>
        <sz val="24"/>
        <color theme="5" tint="-0.249977111117893"/>
        <rFont val="Fritz"/>
      </rPr>
      <t>FRONTLINE PUBLICATIONS</t>
    </r>
    <r>
      <rPr>
        <b/>
        <sz val="22"/>
        <color rgb="FF365F90"/>
        <rFont val="Calibri"/>
        <family val="2"/>
      </rPr>
      <t xml:space="preserve">
</t>
    </r>
    <r>
      <rPr>
        <b/>
        <sz val="14"/>
        <color rgb="FF365F90"/>
        <rFont val="Calibri"/>
        <family val="2"/>
      </rPr>
      <t xml:space="preserve">PUBLISHER, DISTRIBUTOR &amp; LIBRARY SUPPLIERS
</t>
    </r>
    <r>
      <rPr>
        <sz val="12"/>
        <color theme="1"/>
        <rFont val="Calibri"/>
        <family val="2"/>
      </rPr>
      <t xml:space="preserve">D. No. F-4 &amp; F-5, First Floor, CAC/Kothi RTC Bus Terminal Complex, Kothi, Hyderabad, Telangana - 500 095.
</t>
    </r>
    <r>
      <rPr>
        <b/>
        <sz val="12"/>
        <color theme="1"/>
        <rFont val="Calibri"/>
        <family val="2"/>
      </rPr>
      <t>Contact:</t>
    </r>
    <r>
      <rPr>
        <sz val="12"/>
        <color theme="1"/>
        <rFont val="Calibri"/>
        <family val="2"/>
      </rPr>
      <t xml:space="preserve"> 8977500816 - </t>
    </r>
    <r>
      <rPr>
        <b/>
        <sz val="12"/>
        <color theme="1"/>
        <rFont val="Calibri"/>
        <family val="2"/>
      </rPr>
      <t>Email:</t>
    </r>
    <r>
      <rPr>
        <sz val="12"/>
        <color theme="1"/>
        <rFont val="Calibri"/>
        <family val="2"/>
      </rPr>
      <t xml:space="preserve"> frontlinepub@gmail.com - </t>
    </r>
    <r>
      <rPr>
        <b/>
        <sz val="12"/>
        <color theme="1"/>
        <rFont val="Calibri"/>
        <family val="2"/>
      </rPr>
      <t>Website:</t>
    </r>
    <r>
      <rPr>
        <sz val="12"/>
        <color theme="1"/>
        <rFont val="Calibri"/>
        <family val="2"/>
      </rPr>
      <t xml:space="preserve"> www.flpublications.com</t>
    </r>
  </si>
  <si>
    <t>Textbook of Pathology – I &amp; II</t>
  </si>
  <si>
    <t>Textbook of Pharmacology – I &amp; II</t>
  </si>
  <si>
    <r>
      <rPr>
        <b/>
        <sz val="11"/>
        <color rgb="FFFFFFFF"/>
        <rFont val="Calibri"/>
        <family val="2"/>
      </rPr>
      <t>3</t>
    </r>
    <r>
      <rPr>
        <b/>
        <sz val="7"/>
        <color rgb="FFFFFFFF"/>
        <rFont val="Calibri"/>
        <family val="2"/>
      </rPr>
      <t xml:space="preserve">rd &amp; 4th </t>
    </r>
    <r>
      <rPr>
        <b/>
        <sz val="11"/>
        <color rgb="FFFFFFFF"/>
        <rFont val="Calibri"/>
        <family val="2"/>
      </rPr>
      <t>Semester</t>
    </r>
  </si>
  <si>
    <t>Adult Health Nursing – II</t>
  </si>
  <si>
    <t>Dr. Vikas Sharma</t>
  </si>
  <si>
    <t>Genetics</t>
  </si>
  <si>
    <t>Dr. Md. Rizwan, Dr. Ayesha Alvi</t>
  </si>
  <si>
    <t>Professionalism, Professional Ethics including Bioethics</t>
  </si>
  <si>
    <r>
      <rPr>
        <b/>
        <sz val="11"/>
        <color rgb="FFFFFFFF"/>
        <rFont val="Calibri"/>
        <family val="2"/>
      </rPr>
      <t>5</t>
    </r>
    <r>
      <rPr>
        <b/>
        <sz val="7"/>
        <color rgb="FFFFFFFF"/>
        <rFont val="Calibri"/>
        <family val="2"/>
      </rPr>
      <t xml:space="preserve">th &amp; </t>
    </r>
    <r>
      <rPr>
        <b/>
        <sz val="11"/>
        <color rgb="FFFFFFFF"/>
        <rFont val="Calibri"/>
        <family val="2"/>
      </rPr>
      <t>6</t>
    </r>
    <r>
      <rPr>
        <b/>
        <sz val="7"/>
        <color rgb="FFFFFFFF"/>
        <rFont val="Calibri"/>
        <family val="2"/>
      </rPr>
      <t xml:space="preserve">th </t>
    </r>
    <r>
      <rPr>
        <b/>
        <sz val="11"/>
        <color rgb="FFFFFFFF"/>
        <rFont val="Calibri"/>
        <family val="2"/>
      </rPr>
      <t>Semester</t>
    </r>
  </si>
  <si>
    <t>Applied Microbiology</t>
  </si>
  <si>
    <r>
      <rPr>
        <sz val="11"/>
        <rFont val="Calibri"/>
        <family val="2"/>
        <scheme val="minor"/>
      </rPr>
      <t>Adult Health Nursing – I</t>
    </r>
  </si>
  <si>
    <t>Clinical Record Book of Adult Health Nursing - I</t>
  </si>
  <si>
    <t>Clinical Record Book of Adult Health Nursing - II</t>
  </si>
  <si>
    <t>Nursing Management and Leadership</t>
  </si>
  <si>
    <t>Dr. M. Suneetha</t>
  </si>
  <si>
    <t>Casebook Midwifery * Obstetrical Nursing I &amp; II</t>
  </si>
  <si>
    <r>
      <t xml:space="preserve">
</t>
    </r>
    <r>
      <rPr>
        <b/>
        <sz val="11"/>
        <color rgb="FF933634"/>
        <rFont val="Calibri"/>
        <family val="2"/>
      </rPr>
      <t xml:space="preserve">DATE: </t>
    </r>
    <r>
      <rPr>
        <sz val="11"/>
        <color theme="1"/>
        <rFont val="Calibri"/>
        <family val="2"/>
      </rPr>
      <t>19</t>
    </r>
    <r>
      <rPr>
        <sz val="11"/>
        <rFont val="Calibri"/>
        <family val="2"/>
      </rPr>
      <t xml:space="preserve">-01-2026
</t>
    </r>
    <r>
      <rPr>
        <b/>
        <sz val="11"/>
        <color rgb="FF933634"/>
        <rFont val="Calibri"/>
        <family val="2"/>
      </rPr>
      <t xml:space="preserve">Quotation No.: </t>
    </r>
    <r>
      <rPr>
        <sz val="11"/>
        <rFont val="Calibri"/>
        <family val="2"/>
      </rPr>
      <t>19/01/26-19</t>
    </r>
  </si>
  <si>
    <r>
      <rPr>
        <sz val="6"/>
        <rFont val="Calibri"/>
        <family val="2"/>
      </rPr>
      <t xml:space="preserve">
</t>
    </r>
    <r>
      <rPr>
        <sz val="12"/>
        <rFont val="Calibri"/>
        <family val="2"/>
      </rPr>
      <t xml:space="preserve">To,
The Principal
</t>
    </r>
    <r>
      <rPr>
        <b/>
        <sz val="12"/>
        <color rgb="FF933634"/>
        <rFont val="Calibri"/>
        <family val="2"/>
      </rPr>
      <t xml:space="preserve">Madhavanji Hospital College of Nursing
</t>
    </r>
    <r>
      <rPr>
        <sz val="12"/>
        <rFont val="Calibri"/>
        <family val="2"/>
      </rPr>
      <t>Srisailam Highway, Maheshwaram</t>
    </r>
  </si>
  <si>
    <t>Midwifery/Obstetrics &amp; Gynecology (OBG ) Nursing - I&amp;II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</si>
</sst>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3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rgb="FF933634"/>
      <name val="Calibri"/>
      <family val="2"/>
    </font>
    <font>
      <sz val="12"/>
      <name val="Calibri"/>
      <family val="2"/>
    </font>
    <font>
      <b/>
      <sz val="22"/>
      <color rgb="FF365F90"/>
      <name val="Calibri"/>
      <family val="2"/>
    </font>
    <font>
      <b/>
      <sz val="12"/>
      <color rgb="FF933634"/>
      <name val="Calibri"/>
      <family val="2"/>
    </font>
    <font>
      <b/>
      <sz val="11"/>
      <color rgb="FF933634"/>
      <name val="Calibri"/>
      <family val="2"/>
    </font>
    <font>
      <b/>
      <sz val="11"/>
      <color rgb="FFFFFFFF"/>
      <name val="Calibri"/>
      <family val="2"/>
    </font>
    <font>
      <b/>
      <sz val="7"/>
      <color rgb="FFFFFFFF"/>
      <name val="Calibri"/>
      <family val="2"/>
    </font>
    <font>
      <b/>
      <sz val="14"/>
      <color rgb="FF365F90"/>
      <name val="Calibri"/>
      <family val="2"/>
    </font>
    <font>
      <b/>
      <sz val="24"/>
      <color theme="5" tint="-0.249977111117893"/>
      <name val="Fritz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6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 tint="-0.499984740745262"/>
      <name val="Calibri"/>
      <family val="2"/>
    </font>
    <font>
      <b/>
      <u/>
      <sz val="12"/>
      <color rgb="FF933634"/>
      <name val="Calibri"/>
      <family val="2"/>
      <scheme val="minor"/>
    </font>
    <font>
      <b/>
      <sz val="14"/>
      <color theme="5" tint="-0.249977111117893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93363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1" fillId="4" borderId="0" applyNumberFormat="0" applyBorder="0" applyAlignment="0" applyProtection="0"/>
  </cellStyleXfs>
  <cellXfs count="7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164" fontId="7" fillId="0" borderId="9" xfId="0" applyNumberFormat="1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1" fillId="5" borderId="9" xfId="1" applyNumberFormat="1" applyFont="1" applyFill="1" applyBorder="1" applyAlignment="1">
      <alignment horizontal="center" vertical="center" wrapText="1"/>
    </xf>
    <xf numFmtId="164" fontId="26" fillId="0" borderId="9" xfId="0" applyNumberFormat="1" applyFont="1" applyBorder="1" applyAlignment="1">
      <alignment horizontal="center" vertical="center" wrapText="1"/>
    </xf>
    <xf numFmtId="9" fontId="6" fillId="0" borderId="12" xfId="0" applyNumberFormat="1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19" fillId="3" borderId="7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1" fillId="5" borderId="9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center" wrapText="1"/>
    </xf>
    <xf numFmtId="0" fontId="19" fillId="3" borderId="14" xfId="0" applyFont="1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4" fontId="24" fillId="0" borderId="13" xfId="0" applyNumberFormat="1" applyFont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12" fillId="3" borderId="7" xfId="0" applyFont="1" applyFill="1" applyBorder="1" applyAlignment="1">
      <alignment horizontal="lef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A16" sqref="A16:XFD16"/>
    </sheetView>
  </sheetViews>
  <sheetFormatPr defaultColWidth="9.33203125" defaultRowHeight="12.75" x14ac:dyDescent="0.2"/>
  <cols>
    <col min="1" max="1" width="9.33203125" customWidth="1"/>
    <col min="2" max="2" width="26.6640625" customWidth="1"/>
    <col min="3" max="3" width="34.83203125" customWidth="1"/>
    <col min="4" max="4" width="42" customWidth="1"/>
    <col min="5" max="5" width="3.33203125" customWidth="1"/>
    <col min="6" max="6" width="12.6640625" customWidth="1"/>
    <col min="7" max="8" width="11.5" customWidth="1"/>
    <col min="9" max="9" width="10.5" customWidth="1"/>
    <col min="10" max="10" width="16.1640625" customWidth="1"/>
    <col min="11" max="11" width="2.1640625" customWidth="1"/>
    <col min="12" max="12" width="5" customWidth="1"/>
  </cols>
  <sheetData>
    <row r="1" spans="1:10" ht="33" customHeight="1" x14ac:dyDescent="0.2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3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24.7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ht="2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78.75" customHeight="1" x14ac:dyDescent="0.2">
      <c r="A5" s="35" t="s">
        <v>67</v>
      </c>
      <c r="B5" s="36"/>
      <c r="C5" s="37"/>
      <c r="D5" s="38" t="s">
        <v>66</v>
      </c>
      <c r="E5" s="39"/>
      <c r="F5" s="39"/>
      <c r="G5" s="39"/>
      <c r="H5" s="39"/>
      <c r="I5" s="39"/>
      <c r="J5" s="40"/>
    </row>
    <row r="6" spans="1:10" ht="18.75" customHeight="1" x14ac:dyDescent="0.2">
      <c r="A6" s="41" t="s">
        <v>47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15" customHeight="1" x14ac:dyDescent="0.2">
      <c r="A7" s="6" t="s">
        <v>0</v>
      </c>
      <c r="B7" s="44" t="s">
        <v>1</v>
      </c>
      <c r="C7" s="45"/>
      <c r="D7" s="44" t="s">
        <v>2</v>
      </c>
      <c r="E7" s="45"/>
      <c r="F7" s="6" t="s">
        <v>3</v>
      </c>
      <c r="G7" s="6" t="s">
        <v>4</v>
      </c>
      <c r="H7" s="6" t="s">
        <v>5</v>
      </c>
      <c r="I7" s="6" t="s">
        <v>6</v>
      </c>
      <c r="J7" s="6" t="s">
        <v>7</v>
      </c>
    </row>
    <row r="8" spans="1:10" ht="18.75" customHeight="1" x14ac:dyDescent="0.2">
      <c r="A8" s="46" t="s">
        <v>8</v>
      </c>
      <c r="B8" s="47"/>
      <c r="C8" s="48"/>
      <c r="D8" s="49"/>
      <c r="E8" s="49"/>
      <c r="F8" s="49"/>
      <c r="G8" s="49"/>
      <c r="H8" s="49"/>
      <c r="I8" s="49"/>
      <c r="J8" s="49"/>
    </row>
    <row r="9" spans="1:10" ht="20.25" customHeight="1" x14ac:dyDescent="0.2">
      <c r="A9" s="2">
        <v>1</v>
      </c>
      <c r="B9" s="23" t="s">
        <v>9</v>
      </c>
      <c r="C9" s="25"/>
      <c r="D9" s="23" t="s">
        <v>40</v>
      </c>
      <c r="E9" s="25"/>
      <c r="F9" s="2">
        <v>1400</v>
      </c>
      <c r="G9" s="3">
        <v>0.4</v>
      </c>
      <c r="H9" s="2">
        <f>F9-(F9*G9)</f>
        <v>840</v>
      </c>
      <c r="I9" s="2">
        <v>1</v>
      </c>
      <c r="J9" s="2">
        <f>H9*I9</f>
        <v>840</v>
      </c>
    </row>
    <row r="10" spans="1:10" ht="20.25" customHeight="1" x14ac:dyDescent="0.2">
      <c r="A10" s="9">
        <v>2</v>
      </c>
      <c r="B10" s="26" t="s">
        <v>42</v>
      </c>
      <c r="C10" s="27"/>
      <c r="D10" s="28" t="s">
        <v>41</v>
      </c>
      <c r="E10" s="29"/>
      <c r="F10" s="9">
        <v>1600</v>
      </c>
      <c r="G10" s="3">
        <v>0.35</v>
      </c>
      <c r="H10" s="2">
        <f t="shared" ref="H10:H18" si="0">F10-(F10*G10)</f>
        <v>1040</v>
      </c>
      <c r="I10" s="2">
        <v>1</v>
      </c>
      <c r="J10" s="2">
        <f t="shared" ref="J10:J18" si="1">H10*I10</f>
        <v>1040</v>
      </c>
    </row>
    <row r="11" spans="1:10" ht="20.25" customHeight="1" x14ac:dyDescent="0.2">
      <c r="A11" s="2">
        <v>3</v>
      </c>
      <c r="B11" s="32" t="s">
        <v>43</v>
      </c>
      <c r="C11" s="32"/>
      <c r="D11" s="32" t="s">
        <v>31</v>
      </c>
      <c r="E11" s="32"/>
      <c r="F11" s="13">
        <v>500</v>
      </c>
      <c r="G11" s="3">
        <v>0.35</v>
      </c>
      <c r="H11" s="2">
        <f t="shared" si="0"/>
        <v>325</v>
      </c>
      <c r="I11" s="2">
        <v>1</v>
      </c>
      <c r="J11" s="2">
        <f t="shared" si="1"/>
        <v>325</v>
      </c>
    </row>
    <row r="12" spans="1:10" ht="19.5" customHeight="1" x14ac:dyDescent="0.2">
      <c r="A12" s="9">
        <v>4</v>
      </c>
      <c r="B12" s="30" t="s">
        <v>11</v>
      </c>
      <c r="C12" s="31"/>
      <c r="D12" s="30" t="s">
        <v>10</v>
      </c>
      <c r="E12" s="31"/>
      <c r="F12" s="17">
        <v>500</v>
      </c>
      <c r="G12" s="3">
        <v>0.35</v>
      </c>
      <c r="H12" s="2">
        <f t="shared" si="0"/>
        <v>325</v>
      </c>
      <c r="I12" s="2">
        <v>1</v>
      </c>
      <c r="J12" s="2">
        <f t="shared" si="1"/>
        <v>325</v>
      </c>
    </row>
    <row r="13" spans="1:10" ht="19.5" customHeight="1" x14ac:dyDescent="0.2">
      <c r="A13" s="2">
        <v>5</v>
      </c>
      <c r="B13" s="23" t="s">
        <v>12</v>
      </c>
      <c r="C13" s="25"/>
      <c r="D13" s="23" t="s">
        <v>13</v>
      </c>
      <c r="E13" s="25"/>
      <c r="F13" s="2">
        <v>450</v>
      </c>
      <c r="G13" s="3">
        <v>0.35</v>
      </c>
      <c r="H13" s="2">
        <f t="shared" si="0"/>
        <v>292.5</v>
      </c>
      <c r="I13" s="2">
        <v>1</v>
      </c>
      <c r="J13" s="2">
        <f t="shared" si="1"/>
        <v>292.5</v>
      </c>
    </row>
    <row r="14" spans="1:10" ht="19.5" customHeight="1" x14ac:dyDescent="0.2">
      <c r="A14" s="9">
        <v>6</v>
      </c>
      <c r="B14" s="23" t="s">
        <v>14</v>
      </c>
      <c r="C14" s="25"/>
      <c r="D14" s="23" t="s">
        <v>15</v>
      </c>
      <c r="E14" s="25"/>
      <c r="F14" s="2">
        <v>450</v>
      </c>
      <c r="G14" s="3">
        <v>0.35</v>
      </c>
      <c r="H14" s="2">
        <f t="shared" si="0"/>
        <v>292.5</v>
      </c>
      <c r="I14" s="2">
        <v>1</v>
      </c>
      <c r="J14" s="2">
        <f t="shared" si="1"/>
        <v>292.5</v>
      </c>
    </row>
    <row r="15" spans="1:10" ht="20.25" customHeight="1" x14ac:dyDescent="0.2">
      <c r="A15" s="2">
        <v>7</v>
      </c>
      <c r="B15" s="23" t="s">
        <v>16</v>
      </c>
      <c r="C15" s="25"/>
      <c r="D15" s="23" t="s">
        <v>17</v>
      </c>
      <c r="E15" s="25"/>
      <c r="F15" s="2">
        <v>550</v>
      </c>
      <c r="G15" s="3">
        <v>0.35</v>
      </c>
      <c r="H15" s="2">
        <f t="shared" si="0"/>
        <v>357.5</v>
      </c>
      <c r="I15" s="2">
        <v>1</v>
      </c>
      <c r="J15" s="2">
        <f t="shared" si="1"/>
        <v>357.5</v>
      </c>
    </row>
    <row r="16" spans="1:10" ht="20.25" customHeight="1" x14ac:dyDescent="0.2">
      <c r="A16" s="2">
        <v>9</v>
      </c>
      <c r="B16" s="23" t="s">
        <v>44</v>
      </c>
      <c r="C16" s="25"/>
      <c r="D16" s="23" t="s">
        <v>45</v>
      </c>
      <c r="E16" s="25"/>
      <c r="F16" s="2">
        <v>300</v>
      </c>
      <c r="G16" s="3">
        <v>0.35</v>
      </c>
      <c r="H16" s="2">
        <f t="shared" si="0"/>
        <v>195</v>
      </c>
      <c r="I16" s="2">
        <v>1</v>
      </c>
      <c r="J16" s="2">
        <f t="shared" si="1"/>
        <v>195</v>
      </c>
    </row>
    <row r="17" spans="1:10" ht="19.5" customHeight="1" x14ac:dyDescent="0.2">
      <c r="A17" s="9">
        <v>10</v>
      </c>
      <c r="B17" s="28" t="s">
        <v>18</v>
      </c>
      <c r="C17" s="29"/>
      <c r="D17" s="28" t="s">
        <v>48</v>
      </c>
      <c r="E17" s="29"/>
      <c r="F17" s="9">
        <v>500</v>
      </c>
      <c r="G17" s="3">
        <v>0.35</v>
      </c>
      <c r="H17" s="2">
        <f t="shared" si="0"/>
        <v>325</v>
      </c>
      <c r="I17" s="2">
        <v>1</v>
      </c>
      <c r="J17" s="2">
        <f t="shared" si="1"/>
        <v>325</v>
      </c>
    </row>
    <row r="18" spans="1:10" ht="19.5" customHeight="1" x14ac:dyDescent="0.2">
      <c r="A18" s="2">
        <v>11</v>
      </c>
      <c r="B18" s="23" t="s">
        <v>38</v>
      </c>
      <c r="C18" s="25"/>
      <c r="D18" s="23" t="s">
        <v>20</v>
      </c>
      <c r="E18" s="25"/>
      <c r="F18" s="2">
        <v>300</v>
      </c>
      <c r="G18" s="3">
        <v>0.35</v>
      </c>
      <c r="H18" s="2">
        <f t="shared" si="0"/>
        <v>195</v>
      </c>
      <c r="I18" s="2">
        <v>1</v>
      </c>
      <c r="J18" s="2">
        <f t="shared" si="1"/>
        <v>195</v>
      </c>
    </row>
    <row r="19" spans="1:10" ht="18.95" customHeight="1" x14ac:dyDescent="0.2">
      <c r="A19" s="7"/>
      <c r="B19" s="56"/>
      <c r="C19" s="56"/>
      <c r="D19" s="56"/>
      <c r="E19" s="56"/>
      <c r="F19" s="7"/>
      <c r="G19" s="7"/>
      <c r="H19" s="7"/>
      <c r="I19" s="12" t="s">
        <v>19</v>
      </c>
      <c r="J19" s="8">
        <f>SUM(J9:J17)</f>
        <v>3992.5</v>
      </c>
    </row>
    <row r="20" spans="1:10" ht="18.95" customHeight="1" x14ac:dyDescent="0.2">
      <c r="A20" s="58" t="s">
        <v>52</v>
      </c>
      <c r="B20" s="59"/>
      <c r="C20" s="60"/>
      <c r="D20" s="61"/>
      <c r="E20" s="61"/>
      <c r="F20" s="61"/>
      <c r="G20" s="61"/>
      <c r="H20" s="61"/>
      <c r="I20" s="61"/>
      <c r="J20" s="61"/>
    </row>
    <row r="21" spans="1:10" ht="18.95" customHeight="1" x14ac:dyDescent="0.2">
      <c r="A21" s="2">
        <v>1</v>
      </c>
      <c r="B21" s="62" t="s">
        <v>60</v>
      </c>
      <c r="C21" s="63"/>
      <c r="D21" s="50" t="s">
        <v>21</v>
      </c>
      <c r="E21" s="51"/>
      <c r="F21" s="2">
        <v>1300</v>
      </c>
      <c r="G21" s="3">
        <v>0.4</v>
      </c>
      <c r="H21" s="2">
        <f>F21-(F21*G21)</f>
        <v>780</v>
      </c>
      <c r="I21" s="2">
        <v>1</v>
      </c>
      <c r="J21" s="2">
        <f>H21*I21</f>
        <v>780</v>
      </c>
    </row>
    <row r="22" spans="1:10" ht="18.95" customHeight="1" x14ac:dyDescent="0.2">
      <c r="A22" s="2">
        <v>2</v>
      </c>
      <c r="B22" s="54" t="s">
        <v>61</v>
      </c>
      <c r="C22" s="55"/>
      <c r="D22" s="50" t="s">
        <v>54</v>
      </c>
      <c r="E22" s="51"/>
      <c r="F22" s="2">
        <v>450</v>
      </c>
      <c r="G22" s="3">
        <v>0.4</v>
      </c>
      <c r="H22" s="2">
        <f>F22-(F22*G22)</f>
        <v>270</v>
      </c>
      <c r="I22" s="2">
        <v>1</v>
      </c>
      <c r="J22" s="2">
        <f>H22*I22</f>
        <v>270</v>
      </c>
    </row>
    <row r="23" spans="1:10" ht="18.95" customHeight="1" x14ac:dyDescent="0.2">
      <c r="A23" s="2">
        <v>3</v>
      </c>
      <c r="B23" s="52" t="s">
        <v>59</v>
      </c>
      <c r="C23" s="53"/>
      <c r="D23" s="50" t="s">
        <v>39</v>
      </c>
      <c r="E23" s="51"/>
      <c r="F23" s="2">
        <v>650</v>
      </c>
      <c r="G23" s="3">
        <v>0.4</v>
      </c>
      <c r="H23" s="2">
        <f t="shared" ref="H23:H29" si="2">F23-(F23*G23)</f>
        <v>390</v>
      </c>
      <c r="I23" s="2">
        <v>1</v>
      </c>
      <c r="J23" s="2">
        <f t="shared" ref="J23:J29" si="3">H23*I23</f>
        <v>390</v>
      </c>
    </row>
    <row r="24" spans="1:10" ht="18.95" customHeight="1" x14ac:dyDescent="0.2">
      <c r="A24" s="2">
        <v>4</v>
      </c>
      <c r="B24" s="52" t="s">
        <v>51</v>
      </c>
      <c r="C24" s="63"/>
      <c r="D24" s="50" t="s">
        <v>22</v>
      </c>
      <c r="E24" s="51"/>
      <c r="F24" s="2">
        <v>650</v>
      </c>
      <c r="G24" s="3">
        <v>0.4</v>
      </c>
      <c r="H24" s="2">
        <f t="shared" si="2"/>
        <v>390</v>
      </c>
      <c r="I24" s="2">
        <v>1</v>
      </c>
      <c r="J24" s="2">
        <f t="shared" si="3"/>
        <v>390</v>
      </c>
    </row>
    <row r="25" spans="1:10" ht="18.95" customHeight="1" x14ac:dyDescent="0.2">
      <c r="A25" s="2">
        <v>5</v>
      </c>
      <c r="B25" s="52" t="s">
        <v>50</v>
      </c>
      <c r="C25" s="63"/>
      <c r="D25" s="50" t="s">
        <v>23</v>
      </c>
      <c r="E25" s="51"/>
      <c r="F25" s="2">
        <v>650</v>
      </c>
      <c r="G25" s="3">
        <v>0.4</v>
      </c>
      <c r="H25" s="2">
        <f t="shared" si="2"/>
        <v>390</v>
      </c>
      <c r="I25" s="2">
        <v>1</v>
      </c>
      <c r="J25" s="2">
        <f t="shared" si="3"/>
        <v>390</v>
      </c>
    </row>
    <row r="26" spans="1:10" ht="18.95" customHeight="1" x14ac:dyDescent="0.2">
      <c r="A26" s="2">
        <v>6</v>
      </c>
      <c r="B26" s="52" t="s">
        <v>53</v>
      </c>
      <c r="C26" s="53"/>
      <c r="D26" s="50" t="s">
        <v>54</v>
      </c>
      <c r="E26" s="51"/>
      <c r="F26" s="2">
        <v>1200</v>
      </c>
      <c r="G26" s="3">
        <v>0.4</v>
      </c>
      <c r="H26" s="2">
        <f t="shared" si="2"/>
        <v>720</v>
      </c>
      <c r="I26" s="2">
        <v>1</v>
      </c>
      <c r="J26" s="2">
        <f t="shared" si="3"/>
        <v>720</v>
      </c>
    </row>
    <row r="27" spans="1:10" ht="18.95" customHeight="1" x14ac:dyDescent="0.2">
      <c r="A27" s="2">
        <v>7</v>
      </c>
      <c r="B27" s="52" t="s">
        <v>62</v>
      </c>
      <c r="C27" s="53"/>
      <c r="D27" s="50" t="s">
        <v>54</v>
      </c>
      <c r="E27" s="51"/>
      <c r="F27" s="2">
        <v>490</v>
      </c>
      <c r="G27" s="3">
        <v>0.4</v>
      </c>
      <c r="H27" s="2">
        <f t="shared" si="2"/>
        <v>294</v>
      </c>
      <c r="I27" s="2">
        <v>1</v>
      </c>
      <c r="J27" s="2">
        <f t="shared" si="3"/>
        <v>294</v>
      </c>
    </row>
    <row r="28" spans="1:10" ht="18.95" customHeight="1" x14ac:dyDescent="0.2">
      <c r="A28" s="2">
        <v>8</v>
      </c>
      <c r="B28" s="52" t="s">
        <v>55</v>
      </c>
      <c r="C28" s="53"/>
      <c r="D28" s="50" t="s">
        <v>56</v>
      </c>
      <c r="E28" s="51"/>
      <c r="F28" s="2">
        <v>450</v>
      </c>
      <c r="G28" s="3">
        <v>0.4</v>
      </c>
      <c r="H28" s="2">
        <f t="shared" si="2"/>
        <v>270</v>
      </c>
      <c r="I28" s="2">
        <v>1</v>
      </c>
      <c r="J28" s="2">
        <f t="shared" si="3"/>
        <v>270</v>
      </c>
    </row>
    <row r="29" spans="1:10" ht="18.95" customHeight="1" x14ac:dyDescent="0.2">
      <c r="A29" s="2">
        <v>9</v>
      </c>
      <c r="B29" s="52" t="s">
        <v>57</v>
      </c>
      <c r="C29" s="53"/>
      <c r="D29" s="50" t="s">
        <v>25</v>
      </c>
      <c r="E29" s="51"/>
      <c r="F29" s="2">
        <v>450</v>
      </c>
      <c r="G29" s="3">
        <v>0.4</v>
      </c>
      <c r="H29" s="2">
        <f t="shared" si="2"/>
        <v>270</v>
      </c>
      <c r="I29" s="2">
        <v>1</v>
      </c>
      <c r="J29" s="2">
        <f t="shared" si="3"/>
        <v>270</v>
      </c>
    </row>
    <row r="30" spans="1:10" ht="18.95" customHeight="1" x14ac:dyDescent="0.2">
      <c r="A30" s="1"/>
      <c r="B30" s="48"/>
      <c r="C30" s="64"/>
      <c r="D30" s="65"/>
      <c r="E30" s="66"/>
      <c r="F30" s="1"/>
      <c r="G30" s="1"/>
      <c r="H30" s="1"/>
      <c r="I30" s="4" t="s">
        <v>19</v>
      </c>
      <c r="J30" s="16">
        <f>SUM(J21:J29)</f>
        <v>3774</v>
      </c>
    </row>
    <row r="31" spans="1:10" ht="18.95" customHeight="1" x14ac:dyDescent="0.2">
      <c r="A31" s="19" t="s">
        <v>58</v>
      </c>
      <c r="B31" s="20"/>
      <c r="C31" s="21"/>
      <c r="D31" s="22"/>
      <c r="E31" s="22"/>
      <c r="F31" s="22"/>
      <c r="G31" s="22"/>
      <c r="H31" s="22"/>
      <c r="I31" s="22"/>
      <c r="J31" s="22"/>
    </row>
    <row r="32" spans="1:10" ht="18.95" customHeight="1" x14ac:dyDescent="0.2">
      <c r="A32" s="2">
        <v>1</v>
      </c>
      <c r="B32" s="23" t="s">
        <v>24</v>
      </c>
      <c r="C32" s="24"/>
      <c r="D32" s="23" t="s">
        <v>25</v>
      </c>
      <c r="E32" s="25"/>
      <c r="F32" s="2">
        <v>1000</v>
      </c>
      <c r="G32" s="3">
        <v>0.4</v>
      </c>
      <c r="H32" s="2">
        <f>F32-(F32*G32)</f>
        <v>600</v>
      </c>
      <c r="I32" s="2">
        <v>1</v>
      </c>
      <c r="J32" s="2">
        <f>H32*I32</f>
        <v>600</v>
      </c>
    </row>
    <row r="33" spans="1:10" ht="18.95" customHeight="1" x14ac:dyDescent="0.2">
      <c r="A33" s="2">
        <v>2</v>
      </c>
      <c r="B33" s="23" t="s">
        <v>26</v>
      </c>
      <c r="C33" s="25"/>
      <c r="D33" s="23" t="s">
        <v>25</v>
      </c>
      <c r="E33" s="25"/>
      <c r="F33" s="2">
        <v>350</v>
      </c>
      <c r="G33" s="3">
        <v>0.4</v>
      </c>
      <c r="H33" s="2">
        <f t="shared" ref="H33:H40" si="4">F33-(F33*G33)</f>
        <v>210</v>
      </c>
      <c r="I33" s="2">
        <v>1</v>
      </c>
      <c r="J33" s="2">
        <f t="shared" ref="J33:J40" si="5">H33*I33</f>
        <v>210</v>
      </c>
    </row>
    <row r="34" spans="1:10" ht="18.95" customHeight="1" x14ac:dyDescent="0.2">
      <c r="A34" s="2">
        <v>3</v>
      </c>
      <c r="B34" s="23" t="s">
        <v>27</v>
      </c>
      <c r="C34" s="24"/>
      <c r="D34" s="23" t="s">
        <v>28</v>
      </c>
      <c r="E34" s="25"/>
      <c r="F34" s="2">
        <v>450</v>
      </c>
      <c r="G34" s="3">
        <v>0.4</v>
      </c>
      <c r="H34" s="2">
        <f t="shared" si="4"/>
        <v>270</v>
      </c>
      <c r="I34" s="2">
        <v>1</v>
      </c>
      <c r="J34" s="2">
        <f t="shared" si="5"/>
        <v>270</v>
      </c>
    </row>
    <row r="35" spans="1:10" ht="18.95" customHeight="1" x14ac:dyDescent="0.2">
      <c r="A35" s="2">
        <v>4</v>
      </c>
      <c r="B35" s="23" t="s">
        <v>29</v>
      </c>
      <c r="C35" s="24"/>
      <c r="D35" s="23" t="s">
        <v>30</v>
      </c>
      <c r="E35" s="25"/>
      <c r="F35" s="2">
        <v>500</v>
      </c>
      <c r="G35" s="3">
        <v>0.4</v>
      </c>
      <c r="H35" s="2">
        <f t="shared" si="4"/>
        <v>300</v>
      </c>
      <c r="I35" s="2">
        <v>1</v>
      </c>
      <c r="J35" s="2">
        <f t="shared" si="5"/>
        <v>300</v>
      </c>
    </row>
    <row r="36" spans="1:10" ht="18.95" customHeight="1" x14ac:dyDescent="0.2">
      <c r="A36" s="2">
        <v>5</v>
      </c>
      <c r="B36" s="23" t="s">
        <v>32</v>
      </c>
      <c r="C36" s="25"/>
      <c r="D36" s="23" t="s">
        <v>33</v>
      </c>
      <c r="E36" s="25"/>
      <c r="F36" s="2">
        <v>700</v>
      </c>
      <c r="G36" s="3">
        <v>0.4</v>
      </c>
      <c r="H36" s="2">
        <f t="shared" si="4"/>
        <v>420</v>
      </c>
      <c r="I36" s="2">
        <v>1</v>
      </c>
      <c r="J36" s="2">
        <f t="shared" si="5"/>
        <v>420</v>
      </c>
    </row>
    <row r="37" spans="1:10" ht="18.95" customHeight="1" x14ac:dyDescent="0.2">
      <c r="A37" s="9">
        <v>6</v>
      </c>
      <c r="B37" s="28" t="s">
        <v>34</v>
      </c>
      <c r="C37" s="67"/>
      <c r="D37" s="28" t="s">
        <v>35</v>
      </c>
      <c r="E37" s="29"/>
      <c r="F37" s="9">
        <v>1100</v>
      </c>
      <c r="G37" s="15">
        <v>0.4</v>
      </c>
      <c r="H37" s="9">
        <f t="shared" si="4"/>
        <v>660</v>
      </c>
      <c r="I37" s="9">
        <v>1</v>
      </c>
      <c r="J37" s="9">
        <f t="shared" si="5"/>
        <v>660</v>
      </c>
    </row>
    <row r="38" spans="1:10" ht="18.95" customHeight="1" x14ac:dyDescent="0.2">
      <c r="A38" s="10">
        <v>7</v>
      </c>
      <c r="B38" s="72" t="s">
        <v>68</v>
      </c>
      <c r="C38" s="73"/>
      <c r="D38" s="72" t="s">
        <v>36</v>
      </c>
      <c r="E38" s="73"/>
      <c r="F38" s="10">
        <v>1750</v>
      </c>
      <c r="G38" s="15">
        <v>0.4</v>
      </c>
      <c r="H38" s="9">
        <f t="shared" si="4"/>
        <v>1050</v>
      </c>
      <c r="I38" s="9">
        <v>1</v>
      </c>
      <c r="J38" s="9">
        <f t="shared" si="5"/>
        <v>1050</v>
      </c>
    </row>
    <row r="39" spans="1:10" ht="18.95" customHeight="1" x14ac:dyDescent="0.2">
      <c r="A39" s="10">
        <v>8</v>
      </c>
      <c r="B39" s="72" t="s">
        <v>65</v>
      </c>
      <c r="C39" s="73"/>
      <c r="D39" s="72" t="s">
        <v>36</v>
      </c>
      <c r="E39" s="73"/>
      <c r="F39" s="10">
        <v>550</v>
      </c>
      <c r="G39" s="15">
        <v>0.4</v>
      </c>
      <c r="H39" s="9">
        <f t="shared" si="4"/>
        <v>330</v>
      </c>
      <c r="I39" s="9">
        <v>1</v>
      </c>
      <c r="J39" s="9">
        <f t="shared" si="5"/>
        <v>330</v>
      </c>
    </row>
    <row r="40" spans="1:10" ht="18.95" customHeight="1" x14ac:dyDescent="0.2">
      <c r="A40" s="10">
        <v>9</v>
      </c>
      <c r="B40" s="74" t="s">
        <v>63</v>
      </c>
      <c r="C40" s="74"/>
      <c r="D40" s="74" t="s">
        <v>64</v>
      </c>
      <c r="E40" s="74"/>
      <c r="F40" s="10">
        <v>1100</v>
      </c>
      <c r="G40" s="11">
        <v>0.4</v>
      </c>
      <c r="H40" s="10">
        <f t="shared" si="4"/>
        <v>660</v>
      </c>
      <c r="I40" s="10">
        <v>1</v>
      </c>
      <c r="J40" s="9">
        <f t="shared" si="5"/>
        <v>660</v>
      </c>
    </row>
    <row r="41" spans="1:10" ht="18.95" customHeight="1" x14ac:dyDescent="0.2">
      <c r="A41" s="17"/>
      <c r="B41" s="71"/>
      <c r="C41" s="71"/>
      <c r="D41" s="71"/>
      <c r="E41" s="71"/>
      <c r="F41" s="18"/>
      <c r="G41" s="7"/>
      <c r="H41" s="7"/>
      <c r="I41" s="12" t="s">
        <v>19</v>
      </c>
      <c r="J41" s="8">
        <f>SUM(J32:J40)</f>
        <v>4500</v>
      </c>
    </row>
    <row r="42" spans="1:10" ht="18.95" customHeight="1" x14ac:dyDescent="0.2">
      <c r="A42" s="19" t="s">
        <v>37</v>
      </c>
      <c r="B42" s="20"/>
      <c r="C42" s="68"/>
      <c r="D42" s="69"/>
      <c r="E42" s="69"/>
      <c r="F42" s="69"/>
      <c r="G42" s="69"/>
      <c r="H42" s="69"/>
      <c r="I42" s="69"/>
      <c r="J42" s="69"/>
    </row>
    <row r="43" spans="1:10" ht="18.95" customHeight="1" x14ac:dyDescent="0.2">
      <c r="A43" s="9">
        <v>1</v>
      </c>
      <c r="B43" s="28" t="s">
        <v>46</v>
      </c>
      <c r="C43" s="67"/>
      <c r="D43" s="28" t="s">
        <v>25</v>
      </c>
      <c r="E43" s="29"/>
      <c r="F43" s="9">
        <v>900</v>
      </c>
      <c r="G43" s="15">
        <v>0.4</v>
      </c>
      <c r="H43" s="9">
        <f t="shared" ref="H43" si="6">F43-(F43*G43)</f>
        <v>540</v>
      </c>
      <c r="I43" s="9">
        <v>1</v>
      </c>
      <c r="J43" s="9">
        <f t="shared" ref="J43" si="7">H43*I43</f>
        <v>540</v>
      </c>
    </row>
    <row r="44" spans="1:10" ht="18.95" customHeight="1" x14ac:dyDescent="0.2">
      <c r="A44" s="10"/>
      <c r="B44" s="70"/>
      <c r="C44" s="70"/>
      <c r="D44" s="70"/>
      <c r="E44" s="70"/>
      <c r="F44" s="10"/>
      <c r="G44" s="11"/>
      <c r="H44" s="10"/>
      <c r="I44" s="4" t="s">
        <v>19</v>
      </c>
      <c r="J44" s="14">
        <f>SUM(J43:J43)</f>
        <v>540</v>
      </c>
    </row>
    <row r="45" spans="1:10" ht="18.95" customHeight="1" x14ac:dyDescent="0.2">
      <c r="A45" s="75"/>
      <c r="B45" s="76"/>
      <c r="C45" s="76"/>
      <c r="D45" s="76"/>
      <c r="E45" s="76"/>
      <c r="F45" s="76"/>
      <c r="G45" s="76"/>
      <c r="H45" s="76"/>
      <c r="I45" s="76"/>
      <c r="J45" s="76"/>
    </row>
    <row r="46" spans="1:10" ht="18.95" customHeight="1" x14ac:dyDescent="0.2">
      <c r="A46" s="57"/>
      <c r="B46" s="47"/>
      <c r="C46" s="48"/>
      <c r="D46" s="49"/>
      <c r="E46" s="49"/>
      <c r="F46" s="49"/>
      <c r="G46" s="49"/>
      <c r="H46" s="49"/>
      <c r="I46" s="49"/>
      <c r="J46" s="49"/>
    </row>
    <row r="47" spans="1:10" ht="18.95" customHeight="1" x14ac:dyDescent="0.2">
      <c r="A47" s="2"/>
      <c r="B47" s="23"/>
      <c r="C47" s="25"/>
      <c r="D47" s="23"/>
      <c r="E47" s="25"/>
      <c r="F47" s="2"/>
      <c r="G47" s="3"/>
      <c r="H47" s="2"/>
      <c r="I47" s="2"/>
      <c r="J47" s="2"/>
    </row>
    <row r="48" spans="1:10" ht="20.25" customHeight="1" x14ac:dyDescent="0.2">
      <c r="A48" s="2"/>
      <c r="B48" s="23"/>
      <c r="C48" s="24"/>
      <c r="D48" s="23"/>
      <c r="E48" s="25"/>
      <c r="F48" s="2"/>
      <c r="G48" s="3"/>
      <c r="H48" s="2"/>
      <c r="I48" s="2"/>
      <c r="J48" s="2"/>
    </row>
    <row r="49" spans="1:10" ht="19.5" customHeight="1" x14ac:dyDescent="0.2">
      <c r="A49" s="2"/>
      <c r="B49" s="23"/>
      <c r="C49" s="25"/>
      <c r="D49" s="23"/>
      <c r="E49" s="25"/>
      <c r="F49" s="2"/>
      <c r="G49" s="3"/>
      <c r="H49" s="2"/>
      <c r="I49" s="2"/>
      <c r="J49" s="2"/>
    </row>
    <row r="50" spans="1:10" ht="18" customHeight="1" x14ac:dyDescent="0.2">
      <c r="A50" s="2"/>
      <c r="B50" s="23"/>
      <c r="C50" s="25"/>
      <c r="D50" s="23"/>
      <c r="E50" s="25"/>
      <c r="F50" s="2"/>
      <c r="G50" s="3"/>
      <c r="H50" s="2"/>
      <c r="I50" s="2"/>
      <c r="J50" s="2"/>
    </row>
    <row r="51" spans="1:10" ht="18" customHeight="1" x14ac:dyDescent="0.2">
      <c r="A51" s="2"/>
      <c r="B51" s="23"/>
      <c r="C51" s="25"/>
      <c r="D51" s="23"/>
      <c r="E51" s="25"/>
      <c r="F51" s="2"/>
      <c r="G51" s="3"/>
      <c r="H51" s="2"/>
      <c r="I51" s="2"/>
      <c r="J51" s="2"/>
    </row>
    <row r="52" spans="1:10" ht="18" customHeight="1" x14ac:dyDescent="0.2">
      <c r="A52" s="2"/>
      <c r="B52" s="23"/>
      <c r="C52" s="25"/>
      <c r="D52" s="23"/>
      <c r="E52" s="25"/>
      <c r="F52" s="2"/>
      <c r="G52" s="3"/>
      <c r="H52" s="2"/>
      <c r="I52" s="2"/>
      <c r="J52" s="2"/>
    </row>
    <row r="53" spans="1:10" ht="18" customHeight="1" x14ac:dyDescent="0.2">
      <c r="A53" s="2"/>
      <c r="B53" s="23"/>
      <c r="C53" s="25"/>
      <c r="D53" s="23"/>
      <c r="E53" s="25"/>
      <c r="F53" s="2"/>
      <c r="G53" s="3"/>
      <c r="H53" s="2"/>
      <c r="I53" s="2"/>
      <c r="J53" s="2"/>
    </row>
    <row r="54" spans="1:10" ht="18" customHeight="1" x14ac:dyDescent="0.2">
      <c r="A54" s="2"/>
      <c r="B54" s="23"/>
      <c r="C54" s="25"/>
      <c r="D54" s="23"/>
      <c r="E54" s="25"/>
      <c r="F54" s="2"/>
      <c r="G54" s="3"/>
      <c r="H54" s="2"/>
      <c r="I54" s="2"/>
      <c r="J54" s="2"/>
    </row>
    <row r="55" spans="1:10" ht="15" x14ac:dyDescent="0.2">
      <c r="A55" s="2"/>
      <c r="B55" s="23"/>
      <c r="C55" s="25"/>
      <c r="D55" s="23"/>
      <c r="E55" s="25"/>
      <c r="F55" s="2"/>
      <c r="G55" s="3"/>
      <c r="H55" s="2"/>
      <c r="I55" s="2"/>
      <c r="J55" s="2"/>
    </row>
    <row r="56" spans="1:10" ht="15" x14ac:dyDescent="0.2">
      <c r="A56" s="2"/>
      <c r="B56" s="23"/>
      <c r="C56" s="25"/>
      <c r="D56" s="23"/>
      <c r="E56" s="25"/>
      <c r="F56" s="2"/>
      <c r="G56" s="3"/>
      <c r="H56" s="2"/>
      <c r="I56" s="2"/>
      <c r="J56" s="2"/>
    </row>
    <row r="57" spans="1:10" ht="18.75" x14ac:dyDescent="0.2">
      <c r="A57" s="1"/>
      <c r="B57" s="48"/>
      <c r="C57" s="64"/>
      <c r="D57" s="48"/>
      <c r="E57" s="64"/>
      <c r="F57" s="1"/>
      <c r="G57" s="1"/>
      <c r="H57" s="1"/>
      <c r="I57" s="4"/>
      <c r="J57" s="5"/>
    </row>
    <row r="58" spans="1:10" ht="15" x14ac:dyDescent="0.2">
      <c r="A58" s="78"/>
      <c r="B58" s="20"/>
      <c r="C58" s="21"/>
      <c r="D58" s="22"/>
      <c r="E58" s="22"/>
      <c r="F58" s="22"/>
      <c r="G58" s="22"/>
      <c r="H58" s="22"/>
      <c r="I58" s="22"/>
      <c r="J58" s="22"/>
    </row>
    <row r="59" spans="1:10" ht="15" x14ac:dyDescent="0.2">
      <c r="A59" s="2"/>
      <c r="B59" s="23"/>
      <c r="C59" s="24"/>
      <c r="D59" s="23"/>
      <c r="E59" s="25"/>
      <c r="F59" s="2"/>
      <c r="G59" s="3"/>
      <c r="H59" s="2"/>
      <c r="I59" s="2"/>
      <c r="J59" s="2"/>
    </row>
    <row r="60" spans="1:10" ht="15" x14ac:dyDescent="0.2">
      <c r="A60" s="2"/>
      <c r="B60" s="23"/>
      <c r="C60" s="25"/>
      <c r="D60" s="23"/>
      <c r="E60" s="25"/>
      <c r="F60" s="2"/>
      <c r="G60" s="3"/>
      <c r="H60" s="2"/>
      <c r="I60" s="2"/>
      <c r="J60" s="2"/>
    </row>
    <row r="61" spans="1:10" ht="15" x14ac:dyDescent="0.2">
      <c r="A61" s="2"/>
      <c r="B61" s="23"/>
      <c r="C61" s="24"/>
      <c r="D61" s="23"/>
      <c r="E61" s="25"/>
      <c r="F61" s="2"/>
      <c r="G61" s="3"/>
      <c r="H61" s="2"/>
      <c r="I61" s="2"/>
      <c r="J61" s="2"/>
    </row>
    <row r="62" spans="1:10" ht="15" x14ac:dyDescent="0.2">
      <c r="A62" s="2"/>
      <c r="B62" s="23"/>
      <c r="C62" s="24"/>
      <c r="D62" s="23"/>
      <c r="E62" s="25"/>
      <c r="F62" s="2"/>
      <c r="G62" s="3"/>
      <c r="H62" s="2"/>
      <c r="I62" s="2"/>
      <c r="J62" s="2"/>
    </row>
    <row r="63" spans="1:10" ht="15" x14ac:dyDescent="0.2">
      <c r="A63" s="2"/>
      <c r="B63" s="23"/>
      <c r="C63" s="25"/>
      <c r="D63" s="23"/>
      <c r="E63" s="25"/>
      <c r="F63" s="2"/>
      <c r="G63" s="3"/>
      <c r="H63" s="2"/>
      <c r="I63" s="2"/>
      <c r="J63" s="2"/>
    </row>
    <row r="64" spans="1:10" ht="18.75" x14ac:dyDescent="0.2">
      <c r="A64" s="1"/>
      <c r="B64" s="48"/>
      <c r="C64" s="64"/>
      <c r="D64" s="48"/>
      <c r="E64" s="64"/>
      <c r="F64" s="1"/>
      <c r="G64" s="1"/>
      <c r="H64" s="1"/>
      <c r="I64" s="4"/>
      <c r="J64" s="5"/>
    </row>
    <row r="65" spans="1:10" ht="15" x14ac:dyDescent="0.2">
      <c r="A65" s="78"/>
      <c r="B65" s="20"/>
      <c r="C65" s="21"/>
      <c r="D65" s="22"/>
      <c r="E65" s="22"/>
      <c r="F65" s="22"/>
      <c r="G65" s="22"/>
      <c r="H65" s="22"/>
      <c r="I65" s="22"/>
      <c r="J65" s="22"/>
    </row>
    <row r="66" spans="1:10" ht="15" x14ac:dyDescent="0.2">
      <c r="A66" s="2"/>
      <c r="B66" s="23"/>
      <c r="C66" s="24"/>
      <c r="D66" s="23"/>
      <c r="E66" s="25"/>
      <c r="F66" s="2"/>
      <c r="G66" s="3"/>
      <c r="H66" s="2"/>
      <c r="I66" s="2"/>
      <c r="J66" s="2"/>
    </row>
    <row r="67" spans="1:10" ht="15" x14ac:dyDescent="0.2">
      <c r="A67" s="2"/>
      <c r="B67" s="23"/>
      <c r="C67" s="25"/>
      <c r="D67" s="23"/>
      <c r="E67" s="25"/>
      <c r="F67" s="2"/>
      <c r="G67" s="3"/>
      <c r="H67" s="2"/>
      <c r="I67" s="2"/>
      <c r="J67" s="2"/>
    </row>
    <row r="68" spans="1:10" ht="15" x14ac:dyDescent="0.2">
      <c r="A68" s="2"/>
      <c r="B68" s="23"/>
      <c r="C68" s="24"/>
      <c r="D68" s="23"/>
      <c r="E68" s="25"/>
      <c r="F68" s="2"/>
      <c r="G68" s="3"/>
      <c r="H68" s="2"/>
      <c r="I68" s="2"/>
      <c r="J68" s="2"/>
    </row>
    <row r="69" spans="1:10" ht="18.75" x14ac:dyDescent="0.2">
      <c r="A69" s="2"/>
      <c r="B69" s="77"/>
      <c r="C69" s="77"/>
      <c r="D69" s="77"/>
      <c r="E69" s="77"/>
      <c r="F69" s="7"/>
      <c r="G69" s="7"/>
      <c r="H69" s="7"/>
      <c r="I69" s="4"/>
      <c r="J69" s="8"/>
    </row>
    <row r="70" spans="1:10" ht="15" x14ac:dyDescent="0.2">
      <c r="A70" s="78"/>
      <c r="B70" s="20"/>
      <c r="C70" s="68"/>
      <c r="D70" s="69"/>
      <c r="E70" s="69"/>
      <c r="F70" s="69"/>
      <c r="G70" s="69"/>
      <c r="H70" s="69"/>
      <c r="I70" s="69"/>
      <c r="J70" s="69"/>
    </row>
    <row r="71" spans="1:10" ht="15" x14ac:dyDescent="0.2">
      <c r="A71" s="2"/>
      <c r="B71" s="23"/>
      <c r="C71" s="24"/>
      <c r="D71" s="23"/>
      <c r="E71" s="25"/>
      <c r="F71" s="2"/>
      <c r="G71" s="3"/>
      <c r="H71" s="2"/>
      <c r="I71" s="2"/>
      <c r="J71" s="2"/>
    </row>
    <row r="72" spans="1:10" ht="15" x14ac:dyDescent="0.2">
      <c r="A72" s="2"/>
      <c r="B72" s="23"/>
      <c r="C72" s="24"/>
      <c r="D72" s="23"/>
      <c r="E72" s="25"/>
      <c r="F72" s="2"/>
      <c r="G72" s="3"/>
      <c r="H72" s="2"/>
      <c r="I72" s="2"/>
      <c r="J72" s="2"/>
    </row>
    <row r="73" spans="1:10" ht="15" x14ac:dyDescent="0.2">
      <c r="A73" s="2"/>
      <c r="B73" s="23"/>
      <c r="C73" s="24"/>
      <c r="D73" s="23"/>
      <c r="E73" s="25"/>
      <c r="F73" s="2"/>
      <c r="G73" s="3"/>
      <c r="H73" s="2"/>
      <c r="I73" s="2"/>
      <c r="J73" s="2"/>
    </row>
    <row r="74" spans="1:10" ht="18.75" x14ac:dyDescent="0.2">
      <c r="A74" s="10"/>
      <c r="B74" s="70"/>
      <c r="C74" s="70"/>
      <c r="D74" s="70"/>
      <c r="E74" s="70"/>
      <c r="F74" s="10"/>
      <c r="G74" s="11"/>
      <c r="H74" s="10"/>
      <c r="I74" s="12"/>
      <c r="J74" s="14"/>
    </row>
  </sheetData>
  <mergeCells count="139">
    <mergeCell ref="B60:C60"/>
    <mergeCell ref="D60:E60"/>
    <mergeCell ref="B61:C61"/>
    <mergeCell ref="D61:E61"/>
    <mergeCell ref="B62:C62"/>
    <mergeCell ref="D62:E62"/>
    <mergeCell ref="B57:C57"/>
    <mergeCell ref="D57:E57"/>
    <mergeCell ref="A58:B58"/>
    <mergeCell ref="C58:J58"/>
    <mergeCell ref="B59:C59"/>
    <mergeCell ref="D59:E59"/>
    <mergeCell ref="B54:C54"/>
    <mergeCell ref="D54:E54"/>
    <mergeCell ref="B55:C55"/>
    <mergeCell ref="D55:E55"/>
    <mergeCell ref="B56:C56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A65:B65"/>
    <mergeCell ref="C65:J65"/>
    <mergeCell ref="B72:C72"/>
    <mergeCell ref="D72:E72"/>
    <mergeCell ref="B73:C73"/>
    <mergeCell ref="D73:E73"/>
    <mergeCell ref="B74:C74"/>
    <mergeCell ref="D74:E74"/>
    <mergeCell ref="B69:C69"/>
    <mergeCell ref="D69:E69"/>
    <mergeCell ref="A70:B70"/>
    <mergeCell ref="C70:J70"/>
    <mergeCell ref="B71:C71"/>
    <mergeCell ref="D71:E71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7:C47"/>
    <mergeCell ref="D47:E47"/>
    <mergeCell ref="B35:C35"/>
    <mergeCell ref="B36:C36"/>
    <mergeCell ref="B37:C37"/>
    <mergeCell ref="A42:B42"/>
    <mergeCell ref="C42:J42"/>
    <mergeCell ref="B43:C43"/>
    <mergeCell ref="B44:C44"/>
    <mergeCell ref="D44:E44"/>
    <mergeCell ref="B41:C41"/>
    <mergeCell ref="D41:E41"/>
    <mergeCell ref="D36:E36"/>
    <mergeCell ref="D37:E37"/>
    <mergeCell ref="B38:C38"/>
    <mergeCell ref="D38:E38"/>
    <mergeCell ref="B40:C40"/>
    <mergeCell ref="D40:E40"/>
    <mergeCell ref="B39:C39"/>
    <mergeCell ref="D39:E39"/>
    <mergeCell ref="A45:J45"/>
    <mergeCell ref="D43:E43"/>
    <mergeCell ref="B16:C16"/>
    <mergeCell ref="D16:E16"/>
    <mergeCell ref="D15:E15"/>
    <mergeCell ref="B17:C17"/>
    <mergeCell ref="D17:E17"/>
    <mergeCell ref="B19:C19"/>
    <mergeCell ref="D19:E19"/>
    <mergeCell ref="A46:B46"/>
    <mergeCell ref="C46:J46"/>
    <mergeCell ref="B18:C18"/>
    <mergeCell ref="D18:E18"/>
    <mergeCell ref="A20:B20"/>
    <mergeCell ref="C20:J20"/>
    <mergeCell ref="B21:C21"/>
    <mergeCell ref="D21:E21"/>
    <mergeCell ref="B23:C23"/>
    <mergeCell ref="D23:E23"/>
    <mergeCell ref="B24:C24"/>
    <mergeCell ref="B30:C30"/>
    <mergeCell ref="D30:E30"/>
    <mergeCell ref="D24:E24"/>
    <mergeCell ref="B25:C25"/>
    <mergeCell ref="D25:E25"/>
    <mergeCell ref="B26:C26"/>
    <mergeCell ref="D26:E26"/>
    <mergeCell ref="D28:E28"/>
    <mergeCell ref="B28:C28"/>
    <mergeCell ref="B29:C29"/>
    <mergeCell ref="D29:E29"/>
    <mergeCell ref="B22:C22"/>
    <mergeCell ref="D22:E22"/>
    <mergeCell ref="D27:E27"/>
    <mergeCell ref="B27:C27"/>
    <mergeCell ref="A1:J4"/>
    <mergeCell ref="A5:C5"/>
    <mergeCell ref="D5:J5"/>
    <mergeCell ref="A6:J6"/>
    <mergeCell ref="B7:C7"/>
    <mergeCell ref="D7:E7"/>
    <mergeCell ref="A8:B8"/>
    <mergeCell ref="C8:J8"/>
    <mergeCell ref="B9:C9"/>
    <mergeCell ref="D9:E9"/>
    <mergeCell ref="B10:C10"/>
    <mergeCell ref="D10:E10"/>
    <mergeCell ref="B12:C12"/>
    <mergeCell ref="D12:E12"/>
    <mergeCell ref="B13:C13"/>
    <mergeCell ref="D13:E13"/>
    <mergeCell ref="B14:C14"/>
    <mergeCell ref="D14:E14"/>
    <mergeCell ref="B15:C15"/>
    <mergeCell ref="B11:C11"/>
    <mergeCell ref="D11:E11"/>
    <mergeCell ref="A31:B31"/>
    <mergeCell ref="C31:J31"/>
    <mergeCell ref="B32:C32"/>
    <mergeCell ref="B33:C33"/>
    <mergeCell ref="D32:E32"/>
    <mergeCell ref="D33:E33"/>
    <mergeCell ref="B34:C34"/>
    <mergeCell ref="D34:E34"/>
    <mergeCell ref="D35:E35"/>
  </mergeCells>
  <pageMargins left="0.7" right="0.7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S. A</cp:lastModifiedBy>
  <cp:lastPrinted>2025-12-16T12:16:23Z</cp:lastPrinted>
  <dcterms:created xsi:type="dcterms:W3CDTF">2025-10-23T11:10:00Z</dcterms:created>
  <dcterms:modified xsi:type="dcterms:W3CDTF">2026-01-19T12:21:09Z</dcterms:modified>
</cp:coreProperties>
</file>